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</cols>
  <sheetData>
    <row r="1">
      <c r="A1" s="1" t="inlineStr">
        <is>
          <t>Battery parameters</t>
        </is>
      </c>
    </row>
    <row r="2">
      <c r="A2" t="inlineStr">
        <is>
          <t>Region</t>
        </is>
      </c>
      <c r="B2" t="inlineStr">
        <is>
          <t>NSW1</t>
        </is>
      </c>
      <c r="C2" t="inlineStr">
        <is>
          <t>AEMO region ID</t>
        </is>
      </c>
    </row>
    <row r="3">
      <c r="A3" t="inlineStr">
        <is>
          <t>Power</t>
        </is>
      </c>
      <c r="B3" t="n">
        <v>50</v>
      </c>
      <c r="C3" t="inlineStr">
        <is>
          <t>MW</t>
        </is>
      </c>
    </row>
    <row r="4">
      <c r="A4" t="inlineStr">
        <is>
          <t>Energy capacity</t>
        </is>
      </c>
      <c r="B4" t="n">
        <v>100</v>
      </c>
      <c r="C4" t="inlineStr">
        <is>
          <t>MWh</t>
        </is>
      </c>
    </row>
    <row r="5">
      <c r="A5" t="inlineStr">
        <is>
          <t>Starting state of charge</t>
        </is>
      </c>
      <c r="B5" t="n">
        <v>50</v>
      </c>
      <c r="C5" t="inlineStr">
        <is>
          <t>MWh</t>
        </is>
      </c>
    </row>
    <row r="6">
      <c r="A6" t="inlineStr">
        <is>
          <t>Round-trip efficiency</t>
        </is>
      </c>
      <c r="B6" t="n">
        <v>0.85</v>
      </c>
      <c r="C6" t="inlineStr">
        <is>
          <t>fraction, applied when charging</t>
        </is>
      </c>
    </row>
    <row r="7">
      <c r="A7" t="inlineStr">
        <is>
          <t>Charge percentile</t>
        </is>
      </c>
      <c r="B7" t="n">
        <v>0.25</v>
      </c>
      <c r="C7" t="inlineStr">
        <is>
          <t>fraction of the price range, 0 to 1</t>
        </is>
      </c>
    </row>
    <row r="8">
      <c r="A8" t="inlineStr">
        <is>
          <t>Discharge percentile</t>
        </is>
      </c>
      <c r="B8" t="n">
        <v>0.75</v>
      </c>
      <c r="C8" t="inlineStr">
        <is>
          <t>fraction of the price range, 0 to 1</t>
        </is>
      </c>
    </row>
    <row r="9">
      <c r="A9" t="inlineStr">
        <is>
          <t>Interval length</t>
        </is>
      </c>
      <c r="B9" t="n">
        <v>0.5</v>
      </c>
      <c r="C9" t="inlineStr">
        <is>
          <t>hours</t>
        </is>
      </c>
    </row>
    <row r="11">
      <c r="A11" s="1" t="inlineStr">
        <is>
          <t>DATETIME</t>
        </is>
      </c>
      <c r="B11" s="1" t="inlineStr">
        <is>
          <t>Price ($/MWh)</t>
        </is>
      </c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Charge threshold ($/MWh)</t>
        </is>
      </c>
      <c r="B1">
        <f>IF(COUNT(Inputs!$B$12:$B$211)=0,"",PERCENTILE(Inputs!$B$12:$B$211,Inputs!$B$7))</f>
        <v/>
      </c>
    </row>
    <row r="2">
      <c r="A2" t="inlineStr">
        <is>
          <t>Discharge threshold ($/MWh)</t>
        </is>
      </c>
      <c r="B2">
        <f>IF(COUNT(Inputs!$B$12:$B$211)=0,"",PERCENTILE(Inputs!$B$12:$B$211,Inputs!$B$8))</f>
        <v/>
      </c>
    </row>
    <row r="4">
      <c r="A4" s="1" t="inlineStr">
        <is>
          <t>DATETIME</t>
        </is>
      </c>
      <c r="B4" s="1" t="inlineStr">
        <is>
          <t>Price ($/MWh)</t>
        </is>
      </c>
      <c r="C4" s="1" t="inlineStr">
        <is>
          <t>Opening SOC (MWh)</t>
        </is>
      </c>
      <c r="D4" s="1" t="inlineStr">
        <is>
          <t>Storage change (MWh)</t>
        </is>
      </c>
      <c r="E4" s="1" t="inlineStr">
        <is>
          <t>Closing SOC (MWh)</t>
        </is>
      </c>
      <c r="F4" s="1" t="inlineStr">
        <is>
          <t>Grid energy (MWh)</t>
        </is>
      </c>
      <c r="G4" s="1" t="inlineStr">
        <is>
          <t>Power (MW)</t>
        </is>
      </c>
      <c r="H4" s="1" t="inlineStr">
        <is>
          <t>Revenue ($)</t>
        </is>
      </c>
      <c r="I4" s="1" t="inlineStr">
        <is>
          <t>Cumulative revenue ($)</t>
        </is>
      </c>
    </row>
    <row r="5">
      <c r="A5">
        <f>IF(Inputs!$A12="","",Inputs!$A12)</f>
        <v/>
      </c>
      <c r="B5">
        <f>IF($A5="","",Inputs!$B12)</f>
        <v/>
      </c>
      <c r="C5">
        <f>IF($A5="","",Inputs!$B$5)</f>
        <v/>
      </c>
      <c r="D5">
        <f>IF($A5="","",IF(AND(B5&lt;=$B$1,C5&lt;Inputs!$B$4),MIN(Inputs!$B$3*Inputs!$B$9*Inputs!$B$6,Inputs!$B$4-C5),IF(AND(B5&gt;=$B$2,C5&gt;0),-MIN(Inputs!$B$3*Inputs!$B$9,C5),0)))</f>
        <v/>
      </c>
      <c r="E5">
        <f>IF($A5="","",C5+D5)</f>
        <v/>
      </c>
      <c r="F5">
        <f>IF($A5="","",IF(D5&gt;0,-D5/Inputs!$B$6,-D5))</f>
        <v/>
      </c>
      <c r="G5">
        <f>IF($A5="","",F5/Inputs!$B$9)</f>
        <v/>
      </c>
      <c r="H5">
        <f>IF($A5="","",B5*F5)</f>
        <v/>
      </c>
      <c r="I5">
        <f>IF($A5="","",H5)</f>
        <v/>
      </c>
    </row>
    <row r="6">
      <c r="A6">
        <f>IF(Inputs!$A13="","",Inputs!$A13)</f>
        <v/>
      </c>
      <c r="B6">
        <f>IF($A6="","",Inputs!$B13)</f>
        <v/>
      </c>
      <c r="C6">
        <f>IF($A6="","",E5)</f>
        <v/>
      </c>
      <c r="D6">
        <f>IF($A6="","",IF(AND(B6&lt;=$B$1,C6&lt;Inputs!$B$4),MIN(Inputs!$B$3*Inputs!$B$9*Inputs!$B$6,Inputs!$B$4-C6),IF(AND(B6&gt;=$B$2,C6&gt;0),-MIN(Inputs!$B$3*Inputs!$B$9,C6),0)))</f>
        <v/>
      </c>
      <c r="E6">
        <f>IF($A6="","",C6+D6)</f>
        <v/>
      </c>
      <c r="F6">
        <f>IF($A6="","",IF(D6&gt;0,-D6/Inputs!$B$6,-D6))</f>
        <v/>
      </c>
      <c r="G6">
        <f>IF($A6="","",F6/Inputs!$B$9)</f>
        <v/>
      </c>
      <c r="H6">
        <f>IF($A6="","",B6*F6)</f>
        <v/>
      </c>
      <c r="I6">
        <f>IF($A6="","",I5+H6)</f>
        <v/>
      </c>
    </row>
    <row r="7">
      <c r="A7">
        <f>IF(Inputs!$A14="","",Inputs!$A14)</f>
        <v/>
      </c>
      <c r="B7">
        <f>IF($A7="","",Inputs!$B14)</f>
        <v/>
      </c>
      <c r="C7">
        <f>IF($A7="","",E6)</f>
        <v/>
      </c>
      <c r="D7">
        <f>IF($A7="","",IF(AND(B7&lt;=$B$1,C7&lt;Inputs!$B$4),MIN(Inputs!$B$3*Inputs!$B$9*Inputs!$B$6,Inputs!$B$4-C7),IF(AND(B7&gt;=$B$2,C7&gt;0),-MIN(Inputs!$B$3*Inputs!$B$9,C7),0)))</f>
        <v/>
      </c>
      <c r="E7">
        <f>IF($A7="","",C7+D7)</f>
        <v/>
      </c>
      <c r="F7">
        <f>IF($A7="","",IF(D7&gt;0,-D7/Inputs!$B$6,-D7))</f>
        <v/>
      </c>
      <c r="G7">
        <f>IF($A7="","",F7/Inputs!$B$9)</f>
        <v/>
      </c>
      <c r="H7">
        <f>IF($A7="","",B7*F7)</f>
        <v/>
      </c>
      <c r="I7">
        <f>IF($A7="","",I6+H7)</f>
        <v/>
      </c>
    </row>
    <row r="8">
      <c r="A8">
        <f>IF(Inputs!$A15="","",Inputs!$A15)</f>
        <v/>
      </c>
      <c r="B8">
        <f>IF($A8="","",Inputs!$B15)</f>
        <v/>
      </c>
      <c r="C8">
        <f>IF($A8="","",E7)</f>
        <v/>
      </c>
      <c r="D8">
        <f>IF($A8="","",IF(AND(B8&lt;=$B$1,C8&lt;Inputs!$B$4),MIN(Inputs!$B$3*Inputs!$B$9*Inputs!$B$6,Inputs!$B$4-C8),IF(AND(B8&gt;=$B$2,C8&gt;0),-MIN(Inputs!$B$3*Inputs!$B$9,C8),0)))</f>
        <v/>
      </c>
      <c r="E8">
        <f>IF($A8="","",C8+D8)</f>
        <v/>
      </c>
      <c r="F8">
        <f>IF($A8="","",IF(D8&gt;0,-D8/Inputs!$B$6,-D8))</f>
        <v/>
      </c>
      <c r="G8">
        <f>IF($A8="","",F8/Inputs!$B$9)</f>
        <v/>
      </c>
      <c r="H8">
        <f>IF($A8="","",B8*F8)</f>
        <v/>
      </c>
      <c r="I8">
        <f>IF($A8="","",I7+H8)</f>
        <v/>
      </c>
    </row>
    <row r="9">
      <c r="A9">
        <f>IF(Inputs!$A16="","",Inputs!$A16)</f>
        <v/>
      </c>
      <c r="B9">
        <f>IF($A9="","",Inputs!$B16)</f>
        <v/>
      </c>
      <c r="C9">
        <f>IF($A9="","",E8)</f>
        <v/>
      </c>
      <c r="D9">
        <f>IF($A9="","",IF(AND(B9&lt;=$B$1,C9&lt;Inputs!$B$4),MIN(Inputs!$B$3*Inputs!$B$9*Inputs!$B$6,Inputs!$B$4-C9),IF(AND(B9&gt;=$B$2,C9&gt;0),-MIN(Inputs!$B$3*Inputs!$B$9,C9),0)))</f>
        <v/>
      </c>
      <c r="E9">
        <f>IF($A9="","",C9+D9)</f>
        <v/>
      </c>
      <c r="F9">
        <f>IF($A9="","",IF(D9&gt;0,-D9/Inputs!$B$6,-D9))</f>
        <v/>
      </c>
      <c r="G9">
        <f>IF($A9="","",F9/Inputs!$B$9)</f>
        <v/>
      </c>
      <c r="H9">
        <f>IF($A9="","",B9*F9)</f>
        <v/>
      </c>
      <c r="I9">
        <f>IF($A9="","",I8+H9)</f>
        <v/>
      </c>
    </row>
    <row r="10">
      <c r="A10">
        <f>IF(Inputs!$A17="","",Inputs!$A17)</f>
        <v/>
      </c>
      <c r="B10">
        <f>IF($A10="","",Inputs!$B17)</f>
        <v/>
      </c>
      <c r="C10">
        <f>IF($A10="","",E9)</f>
        <v/>
      </c>
      <c r="D10">
        <f>IF($A10="","",IF(AND(B10&lt;=$B$1,C10&lt;Inputs!$B$4),MIN(Inputs!$B$3*Inputs!$B$9*Inputs!$B$6,Inputs!$B$4-C10),IF(AND(B10&gt;=$B$2,C10&gt;0),-MIN(Inputs!$B$3*Inputs!$B$9,C10),0)))</f>
        <v/>
      </c>
      <c r="E10">
        <f>IF($A10="","",C10+D10)</f>
        <v/>
      </c>
      <c r="F10">
        <f>IF($A10="","",IF(D10&gt;0,-D10/Inputs!$B$6,-D10))</f>
        <v/>
      </c>
      <c r="G10">
        <f>IF($A10="","",F10/Inputs!$B$9)</f>
        <v/>
      </c>
      <c r="H10">
        <f>IF($A10="","",B10*F10)</f>
        <v/>
      </c>
      <c r="I10">
        <f>IF($A10="","",I9+H10)</f>
        <v/>
      </c>
    </row>
    <row r="11">
      <c r="A11">
        <f>IF(Inputs!$A18="","",Inputs!$A18)</f>
        <v/>
      </c>
      <c r="B11">
        <f>IF($A11="","",Inputs!$B18)</f>
        <v/>
      </c>
      <c r="C11">
        <f>IF($A11="","",E10)</f>
        <v/>
      </c>
      <c r="D11">
        <f>IF($A11="","",IF(AND(B11&lt;=$B$1,C11&lt;Inputs!$B$4),MIN(Inputs!$B$3*Inputs!$B$9*Inputs!$B$6,Inputs!$B$4-C11),IF(AND(B11&gt;=$B$2,C11&gt;0),-MIN(Inputs!$B$3*Inputs!$B$9,C11),0)))</f>
        <v/>
      </c>
      <c r="E11">
        <f>IF($A11="","",C11+D11)</f>
        <v/>
      </c>
      <c r="F11">
        <f>IF($A11="","",IF(D11&gt;0,-D11/Inputs!$B$6,-D11))</f>
        <v/>
      </c>
      <c r="G11">
        <f>IF($A11="","",F11/Inputs!$B$9)</f>
        <v/>
      </c>
      <c r="H11">
        <f>IF($A11="","",B11*F11)</f>
        <v/>
      </c>
      <c r="I11">
        <f>IF($A11="","",I10+H11)</f>
        <v/>
      </c>
    </row>
    <row r="12">
      <c r="A12">
        <f>IF(Inputs!$A19="","",Inputs!$A19)</f>
        <v/>
      </c>
      <c r="B12">
        <f>IF($A12="","",Inputs!$B19)</f>
        <v/>
      </c>
      <c r="C12">
        <f>IF($A12="","",E11)</f>
        <v/>
      </c>
      <c r="D12">
        <f>IF($A12="","",IF(AND(B12&lt;=$B$1,C12&lt;Inputs!$B$4),MIN(Inputs!$B$3*Inputs!$B$9*Inputs!$B$6,Inputs!$B$4-C12),IF(AND(B12&gt;=$B$2,C12&gt;0),-MIN(Inputs!$B$3*Inputs!$B$9,C12),0)))</f>
        <v/>
      </c>
      <c r="E12">
        <f>IF($A12="","",C12+D12)</f>
        <v/>
      </c>
      <c r="F12">
        <f>IF($A12="","",IF(D12&gt;0,-D12/Inputs!$B$6,-D12))</f>
        <v/>
      </c>
      <c r="G12">
        <f>IF($A12="","",F12/Inputs!$B$9)</f>
        <v/>
      </c>
      <c r="H12">
        <f>IF($A12="","",B12*F12)</f>
        <v/>
      </c>
      <c r="I12">
        <f>IF($A12="","",I11+H12)</f>
        <v/>
      </c>
    </row>
    <row r="13">
      <c r="A13">
        <f>IF(Inputs!$A20="","",Inputs!$A20)</f>
        <v/>
      </c>
      <c r="B13">
        <f>IF($A13="","",Inputs!$B20)</f>
        <v/>
      </c>
      <c r="C13">
        <f>IF($A13="","",E12)</f>
        <v/>
      </c>
      <c r="D13">
        <f>IF($A13="","",IF(AND(B13&lt;=$B$1,C13&lt;Inputs!$B$4),MIN(Inputs!$B$3*Inputs!$B$9*Inputs!$B$6,Inputs!$B$4-C13),IF(AND(B13&gt;=$B$2,C13&gt;0),-MIN(Inputs!$B$3*Inputs!$B$9,C13),0)))</f>
        <v/>
      </c>
      <c r="E13">
        <f>IF($A13="","",C13+D13)</f>
        <v/>
      </c>
      <c r="F13">
        <f>IF($A13="","",IF(D13&gt;0,-D13/Inputs!$B$6,-D13))</f>
        <v/>
      </c>
      <c r="G13">
        <f>IF($A13="","",F13/Inputs!$B$9)</f>
        <v/>
      </c>
      <c r="H13">
        <f>IF($A13="","",B13*F13)</f>
        <v/>
      </c>
      <c r="I13">
        <f>IF($A13="","",I12+H13)</f>
        <v/>
      </c>
    </row>
    <row r="14">
      <c r="A14">
        <f>IF(Inputs!$A21="","",Inputs!$A21)</f>
        <v/>
      </c>
      <c r="B14">
        <f>IF($A14="","",Inputs!$B21)</f>
        <v/>
      </c>
      <c r="C14">
        <f>IF($A14="","",E13)</f>
        <v/>
      </c>
      <c r="D14">
        <f>IF($A14="","",IF(AND(B14&lt;=$B$1,C14&lt;Inputs!$B$4),MIN(Inputs!$B$3*Inputs!$B$9*Inputs!$B$6,Inputs!$B$4-C14),IF(AND(B14&gt;=$B$2,C14&gt;0),-MIN(Inputs!$B$3*Inputs!$B$9,C14),0)))</f>
        <v/>
      </c>
      <c r="E14">
        <f>IF($A14="","",C14+D14)</f>
        <v/>
      </c>
      <c r="F14">
        <f>IF($A14="","",IF(D14&gt;0,-D14/Inputs!$B$6,-D14))</f>
        <v/>
      </c>
      <c r="G14">
        <f>IF($A14="","",F14/Inputs!$B$9)</f>
        <v/>
      </c>
      <c r="H14">
        <f>IF($A14="","",B14*F14)</f>
        <v/>
      </c>
      <c r="I14">
        <f>IF($A14="","",I13+H14)</f>
        <v/>
      </c>
    </row>
    <row r="15">
      <c r="A15">
        <f>IF(Inputs!$A22="","",Inputs!$A22)</f>
        <v/>
      </c>
      <c r="B15">
        <f>IF($A15="","",Inputs!$B22)</f>
        <v/>
      </c>
      <c r="C15">
        <f>IF($A15="","",E14)</f>
        <v/>
      </c>
      <c r="D15">
        <f>IF($A15="","",IF(AND(B15&lt;=$B$1,C15&lt;Inputs!$B$4),MIN(Inputs!$B$3*Inputs!$B$9*Inputs!$B$6,Inputs!$B$4-C15),IF(AND(B15&gt;=$B$2,C15&gt;0),-MIN(Inputs!$B$3*Inputs!$B$9,C15),0)))</f>
        <v/>
      </c>
      <c r="E15">
        <f>IF($A15="","",C15+D15)</f>
        <v/>
      </c>
      <c r="F15">
        <f>IF($A15="","",IF(D15&gt;0,-D15/Inputs!$B$6,-D15))</f>
        <v/>
      </c>
      <c r="G15">
        <f>IF($A15="","",F15/Inputs!$B$9)</f>
        <v/>
      </c>
      <c r="H15">
        <f>IF($A15="","",B15*F15)</f>
        <v/>
      </c>
      <c r="I15">
        <f>IF($A15="","",I14+H15)</f>
        <v/>
      </c>
    </row>
    <row r="16">
      <c r="A16">
        <f>IF(Inputs!$A23="","",Inputs!$A23)</f>
        <v/>
      </c>
      <c r="B16">
        <f>IF($A16="","",Inputs!$B23)</f>
        <v/>
      </c>
      <c r="C16">
        <f>IF($A16="","",E15)</f>
        <v/>
      </c>
      <c r="D16">
        <f>IF($A16="","",IF(AND(B16&lt;=$B$1,C16&lt;Inputs!$B$4),MIN(Inputs!$B$3*Inputs!$B$9*Inputs!$B$6,Inputs!$B$4-C16),IF(AND(B16&gt;=$B$2,C16&gt;0),-MIN(Inputs!$B$3*Inputs!$B$9,C16),0)))</f>
        <v/>
      </c>
      <c r="E16">
        <f>IF($A16="","",C16+D16)</f>
        <v/>
      </c>
      <c r="F16">
        <f>IF($A16="","",IF(D16&gt;0,-D16/Inputs!$B$6,-D16))</f>
        <v/>
      </c>
      <c r="G16">
        <f>IF($A16="","",F16/Inputs!$B$9)</f>
        <v/>
      </c>
      <c r="H16">
        <f>IF($A16="","",B16*F16)</f>
        <v/>
      </c>
      <c r="I16">
        <f>IF($A16="","",I15+H16)</f>
        <v/>
      </c>
    </row>
    <row r="17">
      <c r="A17">
        <f>IF(Inputs!$A24="","",Inputs!$A24)</f>
        <v/>
      </c>
      <c r="B17">
        <f>IF($A17="","",Inputs!$B24)</f>
        <v/>
      </c>
      <c r="C17">
        <f>IF($A17="","",E16)</f>
        <v/>
      </c>
      <c r="D17">
        <f>IF($A17="","",IF(AND(B17&lt;=$B$1,C17&lt;Inputs!$B$4),MIN(Inputs!$B$3*Inputs!$B$9*Inputs!$B$6,Inputs!$B$4-C17),IF(AND(B17&gt;=$B$2,C17&gt;0),-MIN(Inputs!$B$3*Inputs!$B$9,C17),0)))</f>
        <v/>
      </c>
      <c r="E17">
        <f>IF($A17="","",C17+D17)</f>
        <v/>
      </c>
      <c r="F17">
        <f>IF($A17="","",IF(D17&gt;0,-D17/Inputs!$B$6,-D17))</f>
        <v/>
      </c>
      <c r="G17">
        <f>IF($A17="","",F17/Inputs!$B$9)</f>
        <v/>
      </c>
      <c r="H17">
        <f>IF($A17="","",B17*F17)</f>
        <v/>
      </c>
      <c r="I17">
        <f>IF($A17="","",I16+H17)</f>
        <v/>
      </c>
    </row>
    <row r="18">
      <c r="A18">
        <f>IF(Inputs!$A25="","",Inputs!$A25)</f>
        <v/>
      </c>
      <c r="B18">
        <f>IF($A18="","",Inputs!$B25)</f>
        <v/>
      </c>
      <c r="C18">
        <f>IF($A18="","",E17)</f>
        <v/>
      </c>
      <c r="D18">
        <f>IF($A18="","",IF(AND(B18&lt;=$B$1,C18&lt;Inputs!$B$4),MIN(Inputs!$B$3*Inputs!$B$9*Inputs!$B$6,Inputs!$B$4-C18),IF(AND(B18&gt;=$B$2,C18&gt;0),-MIN(Inputs!$B$3*Inputs!$B$9,C18),0)))</f>
        <v/>
      </c>
      <c r="E18">
        <f>IF($A18="","",C18+D18)</f>
        <v/>
      </c>
      <c r="F18">
        <f>IF($A18="","",IF(D18&gt;0,-D18/Inputs!$B$6,-D18))</f>
        <v/>
      </c>
      <c r="G18">
        <f>IF($A18="","",F18/Inputs!$B$9)</f>
        <v/>
      </c>
      <c r="H18">
        <f>IF($A18="","",B18*F18)</f>
        <v/>
      </c>
      <c r="I18">
        <f>IF($A18="","",I17+H18)</f>
        <v/>
      </c>
    </row>
    <row r="19">
      <c r="A19">
        <f>IF(Inputs!$A26="","",Inputs!$A26)</f>
        <v/>
      </c>
      <c r="B19">
        <f>IF($A19="","",Inputs!$B26)</f>
        <v/>
      </c>
      <c r="C19">
        <f>IF($A19="","",E18)</f>
        <v/>
      </c>
      <c r="D19">
        <f>IF($A19="","",IF(AND(B19&lt;=$B$1,C19&lt;Inputs!$B$4),MIN(Inputs!$B$3*Inputs!$B$9*Inputs!$B$6,Inputs!$B$4-C19),IF(AND(B19&gt;=$B$2,C19&gt;0),-MIN(Inputs!$B$3*Inputs!$B$9,C19),0)))</f>
        <v/>
      </c>
      <c r="E19">
        <f>IF($A19="","",C19+D19)</f>
        <v/>
      </c>
      <c r="F19">
        <f>IF($A19="","",IF(D19&gt;0,-D19/Inputs!$B$6,-D19))</f>
        <v/>
      </c>
      <c r="G19">
        <f>IF($A19="","",F19/Inputs!$B$9)</f>
        <v/>
      </c>
      <c r="H19">
        <f>IF($A19="","",B19*F19)</f>
        <v/>
      </c>
      <c r="I19">
        <f>IF($A19="","",I18+H19)</f>
        <v/>
      </c>
    </row>
    <row r="20">
      <c r="A20">
        <f>IF(Inputs!$A27="","",Inputs!$A27)</f>
        <v/>
      </c>
      <c r="B20">
        <f>IF($A20="","",Inputs!$B27)</f>
        <v/>
      </c>
      <c r="C20">
        <f>IF($A20="","",E19)</f>
        <v/>
      </c>
      <c r="D20">
        <f>IF($A20="","",IF(AND(B20&lt;=$B$1,C20&lt;Inputs!$B$4),MIN(Inputs!$B$3*Inputs!$B$9*Inputs!$B$6,Inputs!$B$4-C20),IF(AND(B20&gt;=$B$2,C20&gt;0),-MIN(Inputs!$B$3*Inputs!$B$9,C20),0)))</f>
        <v/>
      </c>
      <c r="E20">
        <f>IF($A20="","",C20+D20)</f>
        <v/>
      </c>
      <c r="F20">
        <f>IF($A20="","",IF(D20&gt;0,-D20/Inputs!$B$6,-D20))</f>
        <v/>
      </c>
      <c r="G20">
        <f>IF($A20="","",F20/Inputs!$B$9)</f>
        <v/>
      </c>
      <c r="H20">
        <f>IF($A20="","",B20*F20)</f>
        <v/>
      </c>
      <c r="I20">
        <f>IF($A20="","",I19+H20)</f>
        <v/>
      </c>
    </row>
    <row r="21">
      <c r="A21">
        <f>IF(Inputs!$A28="","",Inputs!$A28)</f>
        <v/>
      </c>
      <c r="B21">
        <f>IF($A21="","",Inputs!$B28)</f>
        <v/>
      </c>
      <c r="C21">
        <f>IF($A21="","",E20)</f>
        <v/>
      </c>
      <c r="D21">
        <f>IF($A21="","",IF(AND(B21&lt;=$B$1,C21&lt;Inputs!$B$4),MIN(Inputs!$B$3*Inputs!$B$9*Inputs!$B$6,Inputs!$B$4-C21),IF(AND(B21&gt;=$B$2,C21&gt;0),-MIN(Inputs!$B$3*Inputs!$B$9,C21),0)))</f>
        <v/>
      </c>
      <c r="E21">
        <f>IF($A21="","",C21+D21)</f>
        <v/>
      </c>
      <c r="F21">
        <f>IF($A21="","",IF(D21&gt;0,-D21/Inputs!$B$6,-D21))</f>
        <v/>
      </c>
      <c r="G21">
        <f>IF($A21="","",F21/Inputs!$B$9)</f>
        <v/>
      </c>
      <c r="H21">
        <f>IF($A21="","",B21*F21)</f>
        <v/>
      </c>
      <c r="I21">
        <f>IF($A21="","",I20+H21)</f>
        <v/>
      </c>
    </row>
    <row r="22">
      <c r="A22">
        <f>IF(Inputs!$A29="","",Inputs!$A29)</f>
        <v/>
      </c>
      <c r="B22">
        <f>IF($A22="","",Inputs!$B29)</f>
        <v/>
      </c>
      <c r="C22">
        <f>IF($A22="","",E21)</f>
        <v/>
      </c>
      <c r="D22">
        <f>IF($A22="","",IF(AND(B22&lt;=$B$1,C22&lt;Inputs!$B$4),MIN(Inputs!$B$3*Inputs!$B$9*Inputs!$B$6,Inputs!$B$4-C22),IF(AND(B22&gt;=$B$2,C22&gt;0),-MIN(Inputs!$B$3*Inputs!$B$9,C22),0)))</f>
        <v/>
      </c>
      <c r="E22">
        <f>IF($A22="","",C22+D22)</f>
        <v/>
      </c>
      <c r="F22">
        <f>IF($A22="","",IF(D22&gt;0,-D22/Inputs!$B$6,-D22))</f>
        <v/>
      </c>
      <c r="G22">
        <f>IF($A22="","",F22/Inputs!$B$9)</f>
        <v/>
      </c>
      <c r="H22">
        <f>IF($A22="","",B22*F22)</f>
        <v/>
      </c>
      <c r="I22">
        <f>IF($A22="","",I21+H22)</f>
        <v/>
      </c>
    </row>
    <row r="23">
      <c r="A23">
        <f>IF(Inputs!$A30="","",Inputs!$A30)</f>
        <v/>
      </c>
      <c r="B23">
        <f>IF($A23="","",Inputs!$B30)</f>
        <v/>
      </c>
      <c r="C23">
        <f>IF($A23="","",E22)</f>
        <v/>
      </c>
      <c r="D23">
        <f>IF($A23="","",IF(AND(B23&lt;=$B$1,C23&lt;Inputs!$B$4),MIN(Inputs!$B$3*Inputs!$B$9*Inputs!$B$6,Inputs!$B$4-C23),IF(AND(B23&gt;=$B$2,C23&gt;0),-MIN(Inputs!$B$3*Inputs!$B$9,C23),0)))</f>
        <v/>
      </c>
      <c r="E23">
        <f>IF($A23="","",C23+D23)</f>
        <v/>
      </c>
      <c r="F23">
        <f>IF($A23="","",IF(D23&gt;0,-D23/Inputs!$B$6,-D23))</f>
        <v/>
      </c>
      <c r="G23">
        <f>IF($A23="","",F23/Inputs!$B$9)</f>
        <v/>
      </c>
      <c r="H23">
        <f>IF($A23="","",B23*F23)</f>
        <v/>
      </c>
      <c r="I23">
        <f>IF($A23="","",I22+H23)</f>
        <v/>
      </c>
    </row>
    <row r="24">
      <c r="A24">
        <f>IF(Inputs!$A31="","",Inputs!$A31)</f>
        <v/>
      </c>
      <c r="B24">
        <f>IF($A24="","",Inputs!$B31)</f>
        <v/>
      </c>
      <c r="C24">
        <f>IF($A24="","",E23)</f>
        <v/>
      </c>
      <c r="D24">
        <f>IF($A24="","",IF(AND(B24&lt;=$B$1,C24&lt;Inputs!$B$4),MIN(Inputs!$B$3*Inputs!$B$9*Inputs!$B$6,Inputs!$B$4-C24),IF(AND(B24&gt;=$B$2,C24&gt;0),-MIN(Inputs!$B$3*Inputs!$B$9,C24),0)))</f>
        <v/>
      </c>
      <c r="E24">
        <f>IF($A24="","",C24+D24)</f>
        <v/>
      </c>
      <c r="F24">
        <f>IF($A24="","",IF(D24&gt;0,-D24/Inputs!$B$6,-D24))</f>
        <v/>
      </c>
      <c r="G24">
        <f>IF($A24="","",F24/Inputs!$B$9)</f>
        <v/>
      </c>
      <c r="H24">
        <f>IF($A24="","",B24*F24)</f>
        <v/>
      </c>
      <c r="I24">
        <f>IF($A24="","",I23+H24)</f>
        <v/>
      </c>
    </row>
    <row r="25">
      <c r="A25">
        <f>IF(Inputs!$A32="","",Inputs!$A32)</f>
        <v/>
      </c>
      <c r="B25">
        <f>IF($A25="","",Inputs!$B32)</f>
        <v/>
      </c>
      <c r="C25">
        <f>IF($A25="","",E24)</f>
        <v/>
      </c>
      <c r="D25">
        <f>IF($A25="","",IF(AND(B25&lt;=$B$1,C25&lt;Inputs!$B$4),MIN(Inputs!$B$3*Inputs!$B$9*Inputs!$B$6,Inputs!$B$4-C25),IF(AND(B25&gt;=$B$2,C25&gt;0),-MIN(Inputs!$B$3*Inputs!$B$9,C25),0)))</f>
        <v/>
      </c>
      <c r="E25">
        <f>IF($A25="","",C25+D25)</f>
        <v/>
      </c>
      <c r="F25">
        <f>IF($A25="","",IF(D25&gt;0,-D25/Inputs!$B$6,-D25))</f>
        <v/>
      </c>
      <c r="G25">
        <f>IF($A25="","",F25/Inputs!$B$9)</f>
        <v/>
      </c>
      <c r="H25">
        <f>IF($A25="","",B25*F25)</f>
        <v/>
      </c>
      <c r="I25">
        <f>IF($A25="","",I24+H25)</f>
        <v/>
      </c>
    </row>
    <row r="26">
      <c r="A26">
        <f>IF(Inputs!$A33="","",Inputs!$A33)</f>
        <v/>
      </c>
      <c r="B26">
        <f>IF($A26="","",Inputs!$B33)</f>
        <v/>
      </c>
      <c r="C26">
        <f>IF($A26="","",E25)</f>
        <v/>
      </c>
      <c r="D26">
        <f>IF($A26="","",IF(AND(B26&lt;=$B$1,C26&lt;Inputs!$B$4),MIN(Inputs!$B$3*Inputs!$B$9*Inputs!$B$6,Inputs!$B$4-C26),IF(AND(B26&gt;=$B$2,C26&gt;0),-MIN(Inputs!$B$3*Inputs!$B$9,C26),0)))</f>
        <v/>
      </c>
      <c r="E26">
        <f>IF($A26="","",C26+D26)</f>
        <v/>
      </c>
      <c r="F26">
        <f>IF($A26="","",IF(D26&gt;0,-D26/Inputs!$B$6,-D26))</f>
        <v/>
      </c>
      <c r="G26">
        <f>IF($A26="","",F26/Inputs!$B$9)</f>
        <v/>
      </c>
      <c r="H26">
        <f>IF($A26="","",B26*F26)</f>
        <v/>
      </c>
      <c r="I26">
        <f>IF($A26="","",I25+H26)</f>
        <v/>
      </c>
    </row>
    <row r="27">
      <c r="A27">
        <f>IF(Inputs!$A34="","",Inputs!$A34)</f>
        <v/>
      </c>
      <c r="B27">
        <f>IF($A27="","",Inputs!$B34)</f>
        <v/>
      </c>
      <c r="C27">
        <f>IF($A27="","",E26)</f>
        <v/>
      </c>
      <c r="D27">
        <f>IF($A27="","",IF(AND(B27&lt;=$B$1,C27&lt;Inputs!$B$4),MIN(Inputs!$B$3*Inputs!$B$9*Inputs!$B$6,Inputs!$B$4-C27),IF(AND(B27&gt;=$B$2,C27&gt;0),-MIN(Inputs!$B$3*Inputs!$B$9,C27),0)))</f>
        <v/>
      </c>
      <c r="E27">
        <f>IF($A27="","",C27+D27)</f>
        <v/>
      </c>
      <c r="F27">
        <f>IF($A27="","",IF(D27&gt;0,-D27/Inputs!$B$6,-D27))</f>
        <v/>
      </c>
      <c r="G27">
        <f>IF($A27="","",F27/Inputs!$B$9)</f>
        <v/>
      </c>
      <c r="H27">
        <f>IF($A27="","",B27*F27)</f>
        <v/>
      </c>
      <c r="I27">
        <f>IF($A27="","",I26+H27)</f>
        <v/>
      </c>
    </row>
    <row r="28">
      <c r="A28">
        <f>IF(Inputs!$A35="","",Inputs!$A35)</f>
        <v/>
      </c>
      <c r="B28">
        <f>IF($A28="","",Inputs!$B35)</f>
        <v/>
      </c>
      <c r="C28">
        <f>IF($A28="","",E27)</f>
        <v/>
      </c>
      <c r="D28">
        <f>IF($A28="","",IF(AND(B28&lt;=$B$1,C28&lt;Inputs!$B$4),MIN(Inputs!$B$3*Inputs!$B$9*Inputs!$B$6,Inputs!$B$4-C28),IF(AND(B28&gt;=$B$2,C28&gt;0),-MIN(Inputs!$B$3*Inputs!$B$9,C28),0)))</f>
        <v/>
      </c>
      <c r="E28">
        <f>IF($A28="","",C28+D28)</f>
        <v/>
      </c>
      <c r="F28">
        <f>IF($A28="","",IF(D28&gt;0,-D28/Inputs!$B$6,-D28))</f>
        <v/>
      </c>
      <c r="G28">
        <f>IF($A28="","",F28/Inputs!$B$9)</f>
        <v/>
      </c>
      <c r="H28">
        <f>IF($A28="","",B28*F28)</f>
        <v/>
      </c>
      <c r="I28">
        <f>IF($A28="","",I27+H28)</f>
        <v/>
      </c>
    </row>
    <row r="29">
      <c r="A29">
        <f>IF(Inputs!$A36="","",Inputs!$A36)</f>
        <v/>
      </c>
      <c r="B29">
        <f>IF($A29="","",Inputs!$B36)</f>
        <v/>
      </c>
      <c r="C29">
        <f>IF($A29="","",E28)</f>
        <v/>
      </c>
      <c r="D29">
        <f>IF($A29="","",IF(AND(B29&lt;=$B$1,C29&lt;Inputs!$B$4),MIN(Inputs!$B$3*Inputs!$B$9*Inputs!$B$6,Inputs!$B$4-C29),IF(AND(B29&gt;=$B$2,C29&gt;0),-MIN(Inputs!$B$3*Inputs!$B$9,C29),0)))</f>
        <v/>
      </c>
      <c r="E29">
        <f>IF($A29="","",C29+D29)</f>
        <v/>
      </c>
      <c r="F29">
        <f>IF($A29="","",IF(D29&gt;0,-D29/Inputs!$B$6,-D29))</f>
        <v/>
      </c>
      <c r="G29">
        <f>IF($A29="","",F29/Inputs!$B$9)</f>
        <v/>
      </c>
      <c r="H29">
        <f>IF($A29="","",B29*F29)</f>
        <v/>
      </c>
      <c r="I29">
        <f>IF($A29="","",I28+H29)</f>
        <v/>
      </c>
    </row>
    <row r="30">
      <c r="A30">
        <f>IF(Inputs!$A37="","",Inputs!$A37)</f>
        <v/>
      </c>
      <c r="B30">
        <f>IF($A30="","",Inputs!$B37)</f>
        <v/>
      </c>
      <c r="C30">
        <f>IF($A30="","",E29)</f>
        <v/>
      </c>
      <c r="D30">
        <f>IF($A30="","",IF(AND(B30&lt;=$B$1,C30&lt;Inputs!$B$4),MIN(Inputs!$B$3*Inputs!$B$9*Inputs!$B$6,Inputs!$B$4-C30),IF(AND(B30&gt;=$B$2,C30&gt;0),-MIN(Inputs!$B$3*Inputs!$B$9,C30),0)))</f>
        <v/>
      </c>
      <c r="E30">
        <f>IF($A30="","",C30+D30)</f>
        <v/>
      </c>
      <c r="F30">
        <f>IF($A30="","",IF(D30&gt;0,-D30/Inputs!$B$6,-D30))</f>
        <v/>
      </c>
      <c r="G30">
        <f>IF($A30="","",F30/Inputs!$B$9)</f>
        <v/>
      </c>
      <c r="H30">
        <f>IF($A30="","",B30*F30)</f>
        <v/>
      </c>
      <c r="I30">
        <f>IF($A30="","",I29+H30)</f>
        <v/>
      </c>
    </row>
    <row r="31">
      <c r="A31">
        <f>IF(Inputs!$A38="","",Inputs!$A38)</f>
        <v/>
      </c>
      <c r="B31">
        <f>IF($A31="","",Inputs!$B38)</f>
        <v/>
      </c>
      <c r="C31">
        <f>IF($A31="","",E30)</f>
        <v/>
      </c>
      <c r="D31">
        <f>IF($A31="","",IF(AND(B31&lt;=$B$1,C31&lt;Inputs!$B$4),MIN(Inputs!$B$3*Inputs!$B$9*Inputs!$B$6,Inputs!$B$4-C31),IF(AND(B31&gt;=$B$2,C31&gt;0),-MIN(Inputs!$B$3*Inputs!$B$9,C31),0)))</f>
        <v/>
      </c>
      <c r="E31">
        <f>IF($A31="","",C31+D31)</f>
        <v/>
      </c>
      <c r="F31">
        <f>IF($A31="","",IF(D31&gt;0,-D31/Inputs!$B$6,-D31))</f>
        <v/>
      </c>
      <c r="G31">
        <f>IF($A31="","",F31/Inputs!$B$9)</f>
        <v/>
      </c>
      <c r="H31">
        <f>IF($A31="","",B31*F31)</f>
        <v/>
      </c>
      <c r="I31">
        <f>IF($A31="","",I30+H31)</f>
        <v/>
      </c>
    </row>
    <row r="32">
      <c r="A32">
        <f>IF(Inputs!$A39="","",Inputs!$A39)</f>
        <v/>
      </c>
      <c r="B32">
        <f>IF($A32="","",Inputs!$B39)</f>
        <v/>
      </c>
      <c r="C32">
        <f>IF($A32="","",E31)</f>
        <v/>
      </c>
      <c r="D32">
        <f>IF($A32="","",IF(AND(B32&lt;=$B$1,C32&lt;Inputs!$B$4),MIN(Inputs!$B$3*Inputs!$B$9*Inputs!$B$6,Inputs!$B$4-C32),IF(AND(B32&gt;=$B$2,C32&gt;0),-MIN(Inputs!$B$3*Inputs!$B$9,C32),0)))</f>
        <v/>
      </c>
      <c r="E32">
        <f>IF($A32="","",C32+D32)</f>
        <v/>
      </c>
      <c r="F32">
        <f>IF($A32="","",IF(D32&gt;0,-D32/Inputs!$B$6,-D32))</f>
        <v/>
      </c>
      <c r="G32">
        <f>IF($A32="","",F32/Inputs!$B$9)</f>
        <v/>
      </c>
      <c r="H32">
        <f>IF($A32="","",B32*F32)</f>
        <v/>
      </c>
      <c r="I32">
        <f>IF($A32="","",I31+H32)</f>
        <v/>
      </c>
    </row>
    <row r="33">
      <c r="A33">
        <f>IF(Inputs!$A40="","",Inputs!$A40)</f>
        <v/>
      </c>
      <c r="B33">
        <f>IF($A33="","",Inputs!$B40)</f>
        <v/>
      </c>
      <c r="C33">
        <f>IF($A33="","",E32)</f>
        <v/>
      </c>
      <c r="D33">
        <f>IF($A33="","",IF(AND(B33&lt;=$B$1,C33&lt;Inputs!$B$4),MIN(Inputs!$B$3*Inputs!$B$9*Inputs!$B$6,Inputs!$B$4-C33),IF(AND(B33&gt;=$B$2,C33&gt;0),-MIN(Inputs!$B$3*Inputs!$B$9,C33),0)))</f>
        <v/>
      </c>
      <c r="E33">
        <f>IF($A33="","",C33+D33)</f>
        <v/>
      </c>
      <c r="F33">
        <f>IF($A33="","",IF(D33&gt;0,-D33/Inputs!$B$6,-D33))</f>
        <v/>
      </c>
      <c r="G33">
        <f>IF($A33="","",F33/Inputs!$B$9)</f>
        <v/>
      </c>
      <c r="H33">
        <f>IF($A33="","",B33*F33)</f>
        <v/>
      </c>
      <c r="I33">
        <f>IF($A33="","",I32+H33)</f>
        <v/>
      </c>
    </row>
    <row r="34">
      <c r="A34">
        <f>IF(Inputs!$A41="","",Inputs!$A41)</f>
        <v/>
      </c>
      <c r="B34">
        <f>IF($A34="","",Inputs!$B41)</f>
        <v/>
      </c>
      <c r="C34">
        <f>IF($A34="","",E33)</f>
        <v/>
      </c>
      <c r="D34">
        <f>IF($A34="","",IF(AND(B34&lt;=$B$1,C34&lt;Inputs!$B$4),MIN(Inputs!$B$3*Inputs!$B$9*Inputs!$B$6,Inputs!$B$4-C34),IF(AND(B34&gt;=$B$2,C34&gt;0),-MIN(Inputs!$B$3*Inputs!$B$9,C34),0)))</f>
        <v/>
      </c>
      <c r="E34">
        <f>IF($A34="","",C34+D34)</f>
        <v/>
      </c>
      <c r="F34">
        <f>IF($A34="","",IF(D34&gt;0,-D34/Inputs!$B$6,-D34))</f>
        <v/>
      </c>
      <c r="G34">
        <f>IF($A34="","",F34/Inputs!$B$9)</f>
        <v/>
      </c>
      <c r="H34">
        <f>IF($A34="","",B34*F34)</f>
        <v/>
      </c>
      <c r="I34">
        <f>IF($A34="","",I33+H34)</f>
        <v/>
      </c>
    </row>
    <row r="35">
      <c r="A35">
        <f>IF(Inputs!$A42="","",Inputs!$A42)</f>
        <v/>
      </c>
      <c r="B35">
        <f>IF($A35="","",Inputs!$B42)</f>
        <v/>
      </c>
      <c r="C35">
        <f>IF($A35="","",E34)</f>
        <v/>
      </c>
      <c r="D35">
        <f>IF($A35="","",IF(AND(B35&lt;=$B$1,C35&lt;Inputs!$B$4),MIN(Inputs!$B$3*Inputs!$B$9*Inputs!$B$6,Inputs!$B$4-C35),IF(AND(B35&gt;=$B$2,C35&gt;0),-MIN(Inputs!$B$3*Inputs!$B$9,C35),0)))</f>
        <v/>
      </c>
      <c r="E35">
        <f>IF($A35="","",C35+D35)</f>
        <v/>
      </c>
      <c r="F35">
        <f>IF($A35="","",IF(D35&gt;0,-D35/Inputs!$B$6,-D35))</f>
        <v/>
      </c>
      <c r="G35">
        <f>IF($A35="","",F35/Inputs!$B$9)</f>
        <v/>
      </c>
      <c r="H35">
        <f>IF($A35="","",B35*F35)</f>
        <v/>
      </c>
      <c r="I35">
        <f>IF($A35="","",I34+H35)</f>
        <v/>
      </c>
    </row>
    <row r="36">
      <c r="A36">
        <f>IF(Inputs!$A43="","",Inputs!$A43)</f>
        <v/>
      </c>
      <c r="B36">
        <f>IF($A36="","",Inputs!$B43)</f>
        <v/>
      </c>
      <c r="C36">
        <f>IF($A36="","",E35)</f>
        <v/>
      </c>
      <c r="D36">
        <f>IF($A36="","",IF(AND(B36&lt;=$B$1,C36&lt;Inputs!$B$4),MIN(Inputs!$B$3*Inputs!$B$9*Inputs!$B$6,Inputs!$B$4-C36),IF(AND(B36&gt;=$B$2,C36&gt;0),-MIN(Inputs!$B$3*Inputs!$B$9,C36),0)))</f>
        <v/>
      </c>
      <c r="E36">
        <f>IF($A36="","",C36+D36)</f>
        <v/>
      </c>
      <c r="F36">
        <f>IF($A36="","",IF(D36&gt;0,-D36/Inputs!$B$6,-D36))</f>
        <v/>
      </c>
      <c r="G36">
        <f>IF($A36="","",F36/Inputs!$B$9)</f>
        <v/>
      </c>
      <c r="H36">
        <f>IF($A36="","",B36*F36)</f>
        <v/>
      </c>
      <c r="I36">
        <f>IF($A36="","",I35+H36)</f>
        <v/>
      </c>
    </row>
    <row r="37">
      <c r="A37">
        <f>IF(Inputs!$A44="","",Inputs!$A44)</f>
        <v/>
      </c>
      <c r="B37">
        <f>IF($A37="","",Inputs!$B44)</f>
        <v/>
      </c>
      <c r="C37">
        <f>IF($A37="","",E36)</f>
        <v/>
      </c>
      <c r="D37">
        <f>IF($A37="","",IF(AND(B37&lt;=$B$1,C37&lt;Inputs!$B$4),MIN(Inputs!$B$3*Inputs!$B$9*Inputs!$B$6,Inputs!$B$4-C37),IF(AND(B37&gt;=$B$2,C37&gt;0),-MIN(Inputs!$B$3*Inputs!$B$9,C37),0)))</f>
        <v/>
      </c>
      <c r="E37">
        <f>IF($A37="","",C37+D37)</f>
        <v/>
      </c>
      <c r="F37">
        <f>IF($A37="","",IF(D37&gt;0,-D37/Inputs!$B$6,-D37))</f>
        <v/>
      </c>
      <c r="G37">
        <f>IF($A37="","",F37/Inputs!$B$9)</f>
        <v/>
      </c>
      <c r="H37">
        <f>IF($A37="","",B37*F37)</f>
        <v/>
      </c>
      <c r="I37">
        <f>IF($A37="","",I36+H37)</f>
        <v/>
      </c>
    </row>
    <row r="38">
      <c r="A38">
        <f>IF(Inputs!$A45="","",Inputs!$A45)</f>
        <v/>
      </c>
      <c r="B38">
        <f>IF($A38="","",Inputs!$B45)</f>
        <v/>
      </c>
      <c r="C38">
        <f>IF($A38="","",E37)</f>
        <v/>
      </c>
      <c r="D38">
        <f>IF($A38="","",IF(AND(B38&lt;=$B$1,C38&lt;Inputs!$B$4),MIN(Inputs!$B$3*Inputs!$B$9*Inputs!$B$6,Inputs!$B$4-C38),IF(AND(B38&gt;=$B$2,C38&gt;0),-MIN(Inputs!$B$3*Inputs!$B$9,C38),0)))</f>
        <v/>
      </c>
      <c r="E38">
        <f>IF($A38="","",C38+D38)</f>
        <v/>
      </c>
      <c r="F38">
        <f>IF($A38="","",IF(D38&gt;0,-D38/Inputs!$B$6,-D38))</f>
        <v/>
      </c>
      <c r="G38">
        <f>IF($A38="","",F38/Inputs!$B$9)</f>
        <v/>
      </c>
      <c r="H38">
        <f>IF($A38="","",B38*F38)</f>
        <v/>
      </c>
      <c r="I38">
        <f>IF($A38="","",I37+H38)</f>
        <v/>
      </c>
    </row>
    <row r="39">
      <c r="A39">
        <f>IF(Inputs!$A46="","",Inputs!$A46)</f>
        <v/>
      </c>
      <c r="B39">
        <f>IF($A39="","",Inputs!$B46)</f>
        <v/>
      </c>
      <c r="C39">
        <f>IF($A39="","",E38)</f>
        <v/>
      </c>
      <c r="D39">
        <f>IF($A39="","",IF(AND(B39&lt;=$B$1,C39&lt;Inputs!$B$4),MIN(Inputs!$B$3*Inputs!$B$9*Inputs!$B$6,Inputs!$B$4-C39),IF(AND(B39&gt;=$B$2,C39&gt;0),-MIN(Inputs!$B$3*Inputs!$B$9,C39),0)))</f>
        <v/>
      </c>
      <c r="E39">
        <f>IF($A39="","",C39+D39)</f>
        <v/>
      </c>
      <c r="F39">
        <f>IF($A39="","",IF(D39&gt;0,-D39/Inputs!$B$6,-D39))</f>
        <v/>
      </c>
      <c r="G39">
        <f>IF($A39="","",F39/Inputs!$B$9)</f>
        <v/>
      </c>
      <c r="H39">
        <f>IF($A39="","",B39*F39)</f>
        <v/>
      </c>
      <c r="I39">
        <f>IF($A39="","",I38+H39)</f>
        <v/>
      </c>
    </row>
    <row r="40">
      <c r="A40">
        <f>IF(Inputs!$A47="","",Inputs!$A47)</f>
        <v/>
      </c>
      <c r="B40">
        <f>IF($A40="","",Inputs!$B47)</f>
        <v/>
      </c>
      <c r="C40">
        <f>IF($A40="","",E39)</f>
        <v/>
      </c>
      <c r="D40">
        <f>IF($A40="","",IF(AND(B40&lt;=$B$1,C40&lt;Inputs!$B$4),MIN(Inputs!$B$3*Inputs!$B$9*Inputs!$B$6,Inputs!$B$4-C40),IF(AND(B40&gt;=$B$2,C40&gt;0),-MIN(Inputs!$B$3*Inputs!$B$9,C40),0)))</f>
        <v/>
      </c>
      <c r="E40">
        <f>IF($A40="","",C40+D40)</f>
        <v/>
      </c>
      <c r="F40">
        <f>IF($A40="","",IF(D40&gt;0,-D40/Inputs!$B$6,-D40))</f>
        <v/>
      </c>
      <c r="G40">
        <f>IF($A40="","",F40/Inputs!$B$9)</f>
        <v/>
      </c>
      <c r="H40">
        <f>IF($A40="","",B40*F40)</f>
        <v/>
      </c>
      <c r="I40">
        <f>IF($A40="","",I39+H40)</f>
        <v/>
      </c>
    </row>
    <row r="41">
      <c r="A41">
        <f>IF(Inputs!$A48="","",Inputs!$A48)</f>
        <v/>
      </c>
      <c r="B41">
        <f>IF($A41="","",Inputs!$B48)</f>
        <v/>
      </c>
      <c r="C41">
        <f>IF($A41="","",E40)</f>
        <v/>
      </c>
      <c r="D41">
        <f>IF($A41="","",IF(AND(B41&lt;=$B$1,C41&lt;Inputs!$B$4),MIN(Inputs!$B$3*Inputs!$B$9*Inputs!$B$6,Inputs!$B$4-C41),IF(AND(B41&gt;=$B$2,C41&gt;0),-MIN(Inputs!$B$3*Inputs!$B$9,C41),0)))</f>
        <v/>
      </c>
      <c r="E41">
        <f>IF($A41="","",C41+D41)</f>
        <v/>
      </c>
      <c r="F41">
        <f>IF($A41="","",IF(D41&gt;0,-D41/Inputs!$B$6,-D41))</f>
        <v/>
      </c>
      <c r="G41">
        <f>IF($A41="","",F41/Inputs!$B$9)</f>
        <v/>
      </c>
      <c r="H41">
        <f>IF($A41="","",B41*F41)</f>
        <v/>
      </c>
      <c r="I41">
        <f>IF($A41="","",I40+H41)</f>
        <v/>
      </c>
    </row>
    <row r="42">
      <c r="A42">
        <f>IF(Inputs!$A49="","",Inputs!$A49)</f>
        <v/>
      </c>
      <c r="B42">
        <f>IF($A42="","",Inputs!$B49)</f>
        <v/>
      </c>
      <c r="C42">
        <f>IF($A42="","",E41)</f>
        <v/>
      </c>
      <c r="D42">
        <f>IF($A42="","",IF(AND(B42&lt;=$B$1,C42&lt;Inputs!$B$4),MIN(Inputs!$B$3*Inputs!$B$9*Inputs!$B$6,Inputs!$B$4-C42),IF(AND(B42&gt;=$B$2,C42&gt;0),-MIN(Inputs!$B$3*Inputs!$B$9,C42),0)))</f>
        <v/>
      </c>
      <c r="E42">
        <f>IF($A42="","",C42+D42)</f>
        <v/>
      </c>
      <c r="F42">
        <f>IF($A42="","",IF(D42&gt;0,-D42/Inputs!$B$6,-D42))</f>
        <v/>
      </c>
      <c r="G42">
        <f>IF($A42="","",F42/Inputs!$B$9)</f>
        <v/>
      </c>
      <c r="H42">
        <f>IF($A42="","",B42*F42)</f>
        <v/>
      </c>
      <c r="I42">
        <f>IF($A42="","",I41+H42)</f>
        <v/>
      </c>
    </row>
    <row r="43">
      <c r="A43">
        <f>IF(Inputs!$A50="","",Inputs!$A50)</f>
        <v/>
      </c>
      <c r="B43">
        <f>IF($A43="","",Inputs!$B50)</f>
        <v/>
      </c>
      <c r="C43">
        <f>IF($A43="","",E42)</f>
        <v/>
      </c>
      <c r="D43">
        <f>IF($A43="","",IF(AND(B43&lt;=$B$1,C43&lt;Inputs!$B$4),MIN(Inputs!$B$3*Inputs!$B$9*Inputs!$B$6,Inputs!$B$4-C43),IF(AND(B43&gt;=$B$2,C43&gt;0),-MIN(Inputs!$B$3*Inputs!$B$9,C43),0)))</f>
        <v/>
      </c>
      <c r="E43">
        <f>IF($A43="","",C43+D43)</f>
        <v/>
      </c>
      <c r="F43">
        <f>IF($A43="","",IF(D43&gt;0,-D43/Inputs!$B$6,-D43))</f>
        <v/>
      </c>
      <c r="G43">
        <f>IF($A43="","",F43/Inputs!$B$9)</f>
        <v/>
      </c>
      <c r="H43">
        <f>IF($A43="","",B43*F43)</f>
        <v/>
      </c>
      <c r="I43">
        <f>IF($A43="","",I42+H43)</f>
        <v/>
      </c>
    </row>
    <row r="44">
      <c r="A44">
        <f>IF(Inputs!$A51="","",Inputs!$A51)</f>
        <v/>
      </c>
      <c r="B44">
        <f>IF($A44="","",Inputs!$B51)</f>
        <v/>
      </c>
      <c r="C44">
        <f>IF($A44="","",E43)</f>
        <v/>
      </c>
      <c r="D44">
        <f>IF($A44="","",IF(AND(B44&lt;=$B$1,C44&lt;Inputs!$B$4),MIN(Inputs!$B$3*Inputs!$B$9*Inputs!$B$6,Inputs!$B$4-C44),IF(AND(B44&gt;=$B$2,C44&gt;0),-MIN(Inputs!$B$3*Inputs!$B$9,C44),0)))</f>
        <v/>
      </c>
      <c r="E44">
        <f>IF($A44="","",C44+D44)</f>
        <v/>
      </c>
      <c r="F44">
        <f>IF($A44="","",IF(D44&gt;0,-D44/Inputs!$B$6,-D44))</f>
        <v/>
      </c>
      <c r="G44">
        <f>IF($A44="","",F44/Inputs!$B$9)</f>
        <v/>
      </c>
      <c r="H44">
        <f>IF($A44="","",B44*F44)</f>
        <v/>
      </c>
      <c r="I44">
        <f>IF($A44="","",I43+H44)</f>
        <v/>
      </c>
    </row>
    <row r="45">
      <c r="A45">
        <f>IF(Inputs!$A52="","",Inputs!$A52)</f>
        <v/>
      </c>
      <c r="B45">
        <f>IF($A45="","",Inputs!$B52)</f>
        <v/>
      </c>
      <c r="C45">
        <f>IF($A45="","",E44)</f>
        <v/>
      </c>
      <c r="D45">
        <f>IF($A45="","",IF(AND(B45&lt;=$B$1,C45&lt;Inputs!$B$4),MIN(Inputs!$B$3*Inputs!$B$9*Inputs!$B$6,Inputs!$B$4-C45),IF(AND(B45&gt;=$B$2,C45&gt;0),-MIN(Inputs!$B$3*Inputs!$B$9,C45),0)))</f>
        <v/>
      </c>
      <c r="E45">
        <f>IF($A45="","",C45+D45)</f>
        <v/>
      </c>
      <c r="F45">
        <f>IF($A45="","",IF(D45&gt;0,-D45/Inputs!$B$6,-D45))</f>
        <v/>
      </c>
      <c r="G45">
        <f>IF($A45="","",F45/Inputs!$B$9)</f>
        <v/>
      </c>
      <c r="H45">
        <f>IF($A45="","",B45*F45)</f>
        <v/>
      </c>
      <c r="I45">
        <f>IF($A45="","",I44+H45)</f>
        <v/>
      </c>
    </row>
    <row r="46">
      <c r="A46">
        <f>IF(Inputs!$A53="","",Inputs!$A53)</f>
        <v/>
      </c>
      <c r="B46">
        <f>IF($A46="","",Inputs!$B53)</f>
        <v/>
      </c>
      <c r="C46">
        <f>IF($A46="","",E45)</f>
        <v/>
      </c>
      <c r="D46">
        <f>IF($A46="","",IF(AND(B46&lt;=$B$1,C46&lt;Inputs!$B$4),MIN(Inputs!$B$3*Inputs!$B$9*Inputs!$B$6,Inputs!$B$4-C46),IF(AND(B46&gt;=$B$2,C46&gt;0),-MIN(Inputs!$B$3*Inputs!$B$9,C46),0)))</f>
        <v/>
      </c>
      <c r="E46">
        <f>IF($A46="","",C46+D46)</f>
        <v/>
      </c>
      <c r="F46">
        <f>IF($A46="","",IF(D46&gt;0,-D46/Inputs!$B$6,-D46))</f>
        <v/>
      </c>
      <c r="G46">
        <f>IF($A46="","",F46/Inputs!$B$9)</f>
        <v/>
      </c>
      <c r="H46">
        <f>IF($A46="","",B46*F46)</f>
        <v/>
      </c>
      <c r="I46">
        <f>IF($A46="","",I45+H46)</f>
        <v/>
      </c>
    </row>
    <row r="47">
      <c r="A47">
        <f>IF(Inputs!$A54="","",Inputs!$A54)</f>
        <v/>
      </c>
      <c r="B47">
        <f>IF($A47="","",Inputs!$B54)</f>
        <v/>
      </c>
      <c r="C47">
        <f>IF($A47="","",E46)</f>
        <v/>
      </c>
      <c r="D47">
        <f>IF($A47="","",IF(AND(B47&lt;=$B$1,C47&lt;Inputs!$B$4),MIN(Inputs!$B$3*Inputs!$B$9*Inputs!$B$6,Inputs!$B$4-C47),IF(AND(B47&gt;=$B$2,C47&gt;0),-MIN(Inputs!$B$3*Inputs!$B$9,C47),0)))</f>
        <v/>
      </c>
      <c r="E47">
        <f>IF($A47="","",C47+D47)</f>
        <v/>
      </c>
      <c r="F47">
        <f>IF($A47="","",IF(D47&gt;0,-D47/Inputs!$B$6,-D47))</f>
        <v/>
      </c>
      <c r="G47">
        <f>IF($A47="","",F47/Inputs!$B$9)</f>
        <v/>
      </c>
      <c r="H47">
        <f>IF($A47="","",B47*F47)</f>
        <v/>
      </c>
      <c r="I47">
        <f>IF($A47="","",I46+H47)</f>
        <v/>
      </c>
    </row>
    <row r="48">
      <c r="A48">
        <f>IF(Inputs!$A55="","",Inputs!$A55)</f>
        <v/>
      </c>
      <c r="B48">
        <f>IF($A48="","",Inputs!$B55)</f>
        <v/>
      </c>
      <c r="C48">
        <f>IF($A48="","",E47)</f>
        <v/>
      </c>
      <c r="D48">
        <f>IF($A48="","",IF(AND(B48&lt;=$B$1,C48&lt;Inputs!$B$4),MIN(Inputs!$B$3*Inputs!$B$9*Inputs!$B$6,Inputs!$B$4-C48),IF(AND(B48&gt;=$B$2,C48&gt;0),-MIN(Inputs!$B$3*Inputs!$B$9,C48),0)))</f>
        <v/>
      </c>
      <c r="E48">
        <f>IF($A48="","",C48+D48)</f>
        <v/>
      </c>
      <c r="F48">
        <f>IF($A48="","",IF(D48&gt;0,-D48/Inputs!$B$6,-D48))</f>
        <v/>
      </c>
      <c r="G48">
        <f>IF($A48="","",F48/Inputs!$B$9)</f>
        <v/>
      </c>
      <c r="H48">
        <f>IF($A48="","",B48*F48)</f>
        <v/>
      </c>
      <c r="I48">
        <f>IF($A48="","",I47+H48)</f>
        <v/>
      </c>
    </row>
    <row r="49">
      <c r="A49">
        <f>IF(Inputs!$A56="","",Inputs!$A56)</f>
        <v/>
      </c>
      <c r="B49">
        <f>IF($A49="","",Inputs!$B56)</f>
        <v/>
      </c>
      <c r="C49">
        <f>IF($A49="","",E48)</f>
        <v/>
      </c>
      <c r="D49">
        <f>IF($A49="","",IF(AND(B49&lt;=$B$1,C49&lt;Inputs!$B$4),MIN(Inputs!$B$3*Inputs!$B$9*Inputs!$B$6,Inputs!$B$4-C49),IF(AND(B49&gt;=$B$2,C49&gt;0),-MIN(Inputs!$B$3*Inputs!$B$9,C49),0)))</f>
        <v/>
      </c>
      <c r="E49">
        <f>IF($A49="","",C49+D49)</f>
        <v/>
      </c>
      <c r="F49">
        <f>IF($A49="","",IF(D49&gt;0,-D49/Inputs!$B$6,-D49))</f>
        <v/>
      </c>
      <c r="G49">
        <f>IF($A49="","",F49/Inputs!$B$9)</f>
        <v/>
      </c>
      <c r="H49">
        <f>IF($A49="","",B49*F49)</f>
        <v/>
      </c>
      <c r="I49">
        <f>IF($A49="","",I48+H49)</f>
        <v/>
      </c>
    </row>
    <row r="50">
      <c r="A50">
        <f>IF(Inputs!$A57="","",Inputs!$A57)</f>
        <v/>
      </c>
      <c r="B50">
        <f>IF($A50="","",Inputs!$B57)</f>
        <v/>
      </c>
      <c r="C50">
        <f>IF($A50="","",E49)</f>
        <v/>
      </c>
      <c r="D50">
        <f>IF($A50="","",IF(AND(B50&lt;=$B$1,C50&lt;Inputs!$B$4),MIN(Inputs!$B$3*Inputs!$B$9*Inputs!$B$6,Inputs!$B$4-C50),IF(AND(B50&gt;=$B$2,C50&gt;0),-MIN(Inputs!$B$3*Inputs!$B$9,C50),0)))</f>
        <v/>
      </c>
      <c r="E50">
        <f>IF($A50="","",C50+D50)</f>
        <v/>
      </c>
      <c r="F50">
        <f>IF($A50="","",IF(D50&gt;0,-D50/Inputs!$B$6,-D50))</f>
        <v/>
      </c>
      <c r="G50">
        <f>IF($A50="","",F50/Inputs!$B$9)</f>
        <v/>
      </c>
      <c r="H50">
        <f>IF($A50="","",B50*F50)</f>
        <v/>
      </c>
      <c r="I50">
        <f>IF($A50="","",I49+H50)</f>
        <v/>
      </c>
    </row>
    <row r="51">
      <c r="A51">
        <f>IF(Inputs!$A58="","",Inputs!$A58)</f>
        <v/>
      </c>
      <c r="B51">
        <f>IF($A51="","",Inputs!$B58)</f>
        <v/>
      </c>
      <c r="C51">
        <f>IF($A51="","",E50)</f>
        <v/>
      </c>
      <c r="D51">
        <f>IF($A51="","",IF(AND(B51&lt;=$B$1,C51&lt;Inputs!$B$4),MIN(Inputs!$B$3*Inputs!$B$9*Inputs!$B$6,Inputs!$B$4-C51),IF(AND(B51&gt;=$B$2,C51&gt;0),-MIN(Inputs!$B$3*Inputs!$B$9,C51),0)))</f>
        <v/>
      </c>
      <c r="E51">
        <f>IF($A51="","",C51+D51)</f>
        <v/>
      </c>
      <c r="F51">
        <f>IF($A51="","",IF(D51&gt;0,-D51/Inputs!$B$6,-D51))</f>
        <v/>
      </c>
      <c r="G51">
        <f>IF($A51="","",F51/Inputs!$B$9)</f>
        <v/>
      </c>
      <c r="H51">
        <f>IF($A51="","",B51*F51)</f>
        <v/>
      </c>
      <c r="I51">
        <f>IF($A51="","",I50+H51)</f>
        <v/>
      </c>
    </row>
    <row r="52">
      <c r="A52">
        <f>IF(Inputs!$A59="","",Inputs!$A59)</f>
        <v/>
      </c>
      <c r="B52">
        <f>IF($A52="","",Inputs!$B59)</f>
        <v/>
      </c>
      <c r="C52">
        <f>IF($A52="","",E51)</f>
        <v/>
      </c>
      <c r="D52">
        <f>IF($A52="","",IF(AND(B52&lt;=$B$1,C52&lt;Inputs!$B$4),MIN(Inputs!$B$3*Inputs!$B$9*Inputs!$B$6,Inputs!$B$4-C52),IF(AND(B52&gt;=$B$2,C52&gt;0),-MIN(Inputs!$B$3*Inputs!$B$9,C52),0)))</f>
        <v/>
      </c>
      <c r="E52">
        <f>IF($A52="","",C52+D52)</f>
        <v/>
      </c>
      <c r="F52">
        <f>IF($A52="","",IF(D52&gt;0,-D52/Inputs!$B$6,-D52))</f>
        <v/>
      </c>
      <c r="G52">
        <f>IF($A52="","",F52/Inputs!$B$9)</f>
        <v/>
      </c>
      <c r="H52">
        <f>IF($A52="","",B52*F52)</f>
        <v/>
      </c>
      <c r="I52">
        <f>IF($A52="","",I51+H52)</f>
        <v/>
      </c>
    </row>
    <row r="53">
      <c r="A53">
        <f>IF(Inputs!$A60="","",Inputs!$A60)</f>
        <v/>
      </c>
      <c r="B53">
        <f>IF($A53="","",Inputs!$B60)</f>
        <v/>
      </c>
      <c r="C53">
        <f>IF($A53="","",E52)</f>
        <v/>
      </c>
      <c r="D53">
        <f>IF($A53="","",IF(AND(B53&lt;=$B$1,C53&lt;Inputs!$B$4),MIN(Inputs!$B$3*Inputs!$B$9*Inputs!$B$6,Inputs!$B$4-C53),IF(AND(B53&gt;=$B$2,C53&gt;0),-MIN(Inputs!$B$3*Inputs!$B$9,C53),0)))</f>
        <v/>
      </c>
      <c r="E53">
        <f>IF($A53="","",C53+D53)</f>
        <v/>
      </c>
      <c r="F53">
        <f>IF($A53="","",IF(D53&gt;0,-D53/Inputs!$B$6,-D53))</f>
        <v/>
      </c>
      <c r="G53">
        <f>IF($A53="","",F53/Inputs!$B$9)</f>
        <v/>
      </c>
      <c r="H53">
        <f>IF($A53="","",B53*F53)</f>
        <v/>
      </c>
      <c r="I53">
        <f>IF($A53="","",I52+H53)</f>
        <v/>
      </c>
    </row>
    <row r="54">
      <c r="A54">
        <f>IF(Inputs!$A61="","",Inputs!$A61)</f>
        <v/>
      </c>
      <c r="B54">
        <f>IF($A54="","",Inputs!$B61)</f>
        <v/>
      </c>
      <c r="C54">
        <f>IF($A54="","",E53)</f>
        <v/>
      </c>
      <c r="D54">
        <f>IF($A54="","",IF(AND(B54&lt;=$B$1,C54&lt;Inputs!$B$4),MIN(Inputs!$B$3*Inputs!$B$9*Inputs!$B$6,Inputs!$B$4-C54),IF(AND(B54&gt;=$B$2,C54&gt;0),-MIN(Inputs!$B$3*Inputs!$B$9,C54),0)))</f>
        <v/>
      </c>
      <c r="E54">
        <f>IF($A54="","",C54+D54)</f>
        <v/>
      </c>
      <c r="F54">
        <f>IF($A54="","",IF(D54&gt;0,-D54/Inputs!$B$6,-D54))</f>
        <v/>
      </c>
      <c r="G54">
        <f>IF($A54="","",F54/Inputs!$B$9)</f>
        <v/>
      </c>
      <c r="H54">
        <f>IF($A54="","",B54*F54)</f>
        <v/>
      </c>
      <c r="I54">
        <f>IF($A54="","",I53+H54)</f>
        <v/>
      </c>
    </row>
    <row r="55">
      <c r="A55">
        <f>IF(Inputs!$A62="","",Inputs!$A62)</f>
        <v/>
      </c>
      <c r="B55">
        <f>IF($A55="","",Inputs!$B62)</f>
        <v/>
      </c>
      <c r="C55">
        <f>IF($A55="","",E54)</f>
        <v/>
      </c>
      <c r="D55">
        <f>IF($A55="","",IF(AND(B55&lt;=$B$1,C55&lt;Inputs!$B$4),MIN(Inputs!$B$3*Inputs!$B$9*Inputs!$B$6,Inputs!$B$4-C55),IF(AND(B55&gt;=$B$2,C55&gt;0),-MIN(Inputs!$B$3*Inputs!$B$9,C55),0)))</f>
        <v/>
      </c>
      <c r="E55">
        <f>IF($A55="","",C55+D55)</f>
        <v/>
      </c>
      <c r="F55">
        <f>IF($A55="","",IF(D55&gt;0,-D55/Inputs!$B$6,-D55))</f>
        <v/>
      </c>
      <c r="G55">
        <f>IF($A55="","",F55/Inputs!$B$9)</f>
        <v/>
      </c>
      <c r="H55">
        <f>IF($A55="","",B55*F55)</f>
        <v/>
      </c>
      <c r="I55">
        <f>IF($A55="","",I54+H55)</f>
        <v/>
      </c>
    </row>
    <row r="56">
      <c r="A56">
        <f>IF(Inputs!$A63="","",Inputs!$A63)</f>
        <v/>
      </c>
      <c r="B56">
        <f>IF($A56="","",Inputs!$B63)</f>
        <v/>
      </c>
      <c r="C56">
        <f>IF($A56="","",E55)</f>
        <v/>
      </c>
      <c r="D56">
        <f>IF($A56="","",IF(AND(B56&lt;=$B$1,C56&lt;Inputs!$B$4),MIN(Inputs!$B$3*Inputs!$B$9*Inputs!$B$6,Inputs!$B$4-C56),IF(AND(B56&gt;=$B$2,C56&gt;0),-MIN(Inputs!$B$3*Inputs!$B$9,C56),0)))</f>
        <v/>
      </c>
      <c r="E56">
        <f>IF($A56="","",C56+D56)</f>
        <v/>
      </c>
      <c r="F56">
        <f>IF($A56="","",IF(D56&gt;0,-D56/Inputs!$B$6,-D56))</f>
        <v/>
      </c>
      <c r="G56">
        <f>IF($A56="","",F56/Inputs!$B$9)</f>
        <v/>
      </c>
      <c r="H56">
        <f>IF($A56="","",B56*F56)</f>
        <v/>
      </c>
      <c r="I56">
        <f>IF($A56="","",I55+H56)</f>
        <v/>
      </c>
    </row>
    <row r="57">
      <c r="A57">
        <f>IF(Inputs!$A64="","",Inputs!$A64)</f>
        <v/>
      </c>
      <c r="B57">
        <f>IF($A57="","",Inputs!$B64)</f>
        <v/>
      </c>
      <c r="C57">
        <f>IF($A57="","",E56)</f>
        <v/>
      </c>
      <c r="D57">
        <f>IF($A57="","",IF(AND(B57&lt;=$B$1,C57&lt;Inputs!$B$4),MIN(Inputs!$B$3*Inputs!$B$9*Inputs!$B$6,Inputs!$B$4-C57),IF(AND(B57&gt;=$B$2,C57&gt;0),-MIN(Inputs!$B$3*Inputs!$B$9,C57),0)))</f>
        <v/>
      </c>
      <c r="E57">
        <f>IF($A57="","",C57+D57)</f>
        <v/>
      </c>
      <c r="F57">
        <f>IF($A57="","",IF(D57&gt;0,-D57/Inputs!$B$6,-D57))</f>
        <v/>
      </c>
      <c r="G57">
        <f>IF($A57="","",F57/Inputs!$B$9)</f>
        <v/>
      </c>
      <c r="H57">
        <f>IF($A57="","",B57*F57)</f>
        <v/>
      </c>
      <c r="I57">
        <f>IF($A57="","",I56+H57)</f>
        <v/>
      </c>
    </row>
    <row r="58">
      <c r="A58">
        <f>IF(Inputs!$A65="","",Inputs!$A65)</f>
        <v/>
      </c>
      <c r="B58">
        <f>IF($A58="","",Inputs!$B65)</f>
        <v/>
      </c>
      <c r="C58">
        <f>IF($A58="","",E57)</f>
        <v/>
      </c>
      <c r="D58">
        <f>IF($A58="","",IF(AND(B58&lt;=$B$1,C58&lt;Inputs!$B$4),MIN(Inputs!$B$3*Inputs!$B$9*Inputs!$B$6,Inputs!$B$4-C58),IF(AND(B58&gt;=$B$2,C58&gt;0),-MIN(Inputs!$B$3*Inputs!$B$9,C58),0)))</f>
        <v/>
      </c>
      <c r="E58">
        <f>IF($A58="","",C58+D58)</f>
        <v/>
      </c>
      <c r="F58">
        <f>IF($A58="","",IF(D58&gt;0,-D58/Inputs!$B$6,-D58))</f>
        <v/>
      </c>
      <c r="G58">
        <f>IF($A58="","",F58/Inputs!$B$9)</f>
        <v/>
      </c>
      <c r="H58">
        <f>IF($A58="","",B58*F58)</f>
        <v/>
      </c>
      <c r="I58">
        <f>IF($A58="","",I57+H58)</f>
        <v/>
      </c>
    </row>
    <row r="59">
      <c r="A59">
        <f>IF(Inputs!$A66="","",Inputs!$A66)</f>
        <v/>
      </c>
      <c r="B59">
        <f>IF($A59="","",Inputs!$B66)</f>
        <v/>
      </c>
      <c r="C59">
        <f>IF($A59="","",E58)</f>
        <v/>
      </c>
      <c r="D59">
        <f>IF($A59="","",IF(AND(B59&lt;=$B$1,C59&lt;Inputs!$B$4),MIN(Inputs!$B$3*Inputs!$B$9*Inputs!$B$6,Inputs!$B$4-C59),IF(AND(B59&gt;=$B$2,C59&gt;0),-MIN(Inputs!$B$3*Inputs!$B$9,C59),0)))</f>
        <v/>
      </c>
      <c r="E59">
        <f>IF($A59="","",C59+D59)</f>
        <v/>
      </c>
      <c r="F59">
        <f>IF($A59="","",IF(D59&gt;0,-D59/Inputs!$B$6,-D59))</f>
        <v/>
      </c>
      <c r="G59">
        <f>IF($A59="","",F59/Inputs!$B$9)</f>
        <v/>
      </c>
      <c r="H59">
        <f>IF($A59="","",B59*F59)</f>
        <v/>
      </c>
      <c r="I59">
        <f>IF($A59="","",I58+H59)</f>
        <v/>
      </c>
    </row>
    <row r="60">
      <c r="A60">
        <f>IF(Inputs!$A67="","",Inputs!$A67)</f>
        <v/>
      </c>
      <c r="B60">
        <f>IF($A60="","",Inputs!$B67)</f>
        <v/>
      </c>
      <c r="C60">
        <f>IF($A60="","",E59)</f>
        <v/>
      </c>
      <c r="D60">
        <f>IF($A60="","",IF(AND(B60&lt;=$B$1,C60&lt;Inputs!$B$4),MIN(Inputs!$B$3*Inputs!$B$9*Inputs!$B$6,Inputs!$B$4-C60),IF(AND(B60&gt;=$B$2,C60&gt;0),-MIN(Inputs!$B$3*Inputs!$B$9,C60),0)))</f>
        <v/>
      </c>
      <c r="E60">
        <f>IF($A60="","",C60+D60)</f>
        <v/>
      </c>
      <c r="F60">
        <f>IF($A60="","",IF(D60&gt;0,-D60/Inputs!$B$6,-D60))</f>
        <v/>
      </c>
      <c r="G60">
        <f>IF($A60="","",F60/Inputs!$B$9)</f>
        <v/>
      </c>
      <c r="H60">
        <f>IF($A60="","",B60*F60)</f>
        <v/>
      </c>
      <c r="I60">
        <f>IF($A60="","",I59+H60)</f>
        <v/>
      </c>
    </row>
    <row r="61">
      <c r="A61">
        <f>IF(Inputs!$A68="","",Inputs!$A68)</f>
        <v/>
      </c>
      <c r="B61">
        <f>IF($A61="","",Inputs!$B68)</f>
        <v/>
      </c>
      <c r="C61">
        <f>IF($A61="","",E60)</f>
        <v/>
      </c>
      <c r="D61">
        <f>IF($A61="","",IF(AND(B61&lt;=$B$1,C61&lt;Inputs!$B$4),MIN(Inputs!$B$3*Inputs!$B$9*Inputs!$B$6,Inputs!$B$4-C61),IF(AND(B61&gt;=$B$2,C61&gt;0),-MIN(Inputs!$B$3*Inputs!$B$9,C61),0)))</f>
        <v/>
      </c>
      <c r="E61">
        <f>IF($A61="","",C61+D61)</f>
        <v/>
      </c>
      <c r="F61">
        <f>IF($A61="","",IF(D61&gt;0,-D61/Inputs!$B$6,-D61))</f>
        <v/>
      </c>
      <c r="G61">
        <f>IF($A61="","",F61/Inputs!$B$9)</f>
        <v/>
      </c>
      <c r="H61">
        <f>IF($A61="","",B61*F61)</f>
        <v/>
      </c>
      <c r="I61">
        <f>IF($A61="","",I60+H61)</f>
        <v/>
      </c>
    </row>
    <row r="62">
      <c r="A62">
        <f>IF(Inputs!$A69="","",Inputs!$A69)</f>
        <v/>
      </c>
      <c r="B62">
        <f>IF($A62="","",Inputs!$B69)</f>
        <v/>
      </c>
      <c r="C62">
        <f>IF($A62="","",E61)</f>
        <v/>
      </c>
      <c r="D62">
        <f>IF($A62="","",IF(AND(B62&lt;=$B$1,C62&lt;Inputs!$B$4),MIN(Inputs!$B$3*Inputs!$B$9*Inputs!$B$6,Inputs!$B$4-C62),IF(AND(B62&gt;=$B$2,C62&gt;0),-MIN(Inputs!$B$3*Inputs!$B$9,C62),0)))</f>
        <v/>
      </c>
      <c r="E62">
        <f>IF($A62="","",C62+D62)</f>
        <v/>
      </c>
      <c r="F62">
        <f>IF($A62="","",IF(D62&gt;0,-D62/Inputs!$B$6,-D62))</f>
        <v/>
      </c>
      <c r="G62">
        <f>IF($A62="","",F62/Inputs!$B$9)</f>
        <v/>
      </c>
      <c r="H62">
        <f>IF($A62="","",B62*F62)</f>
        <v/>
      </c>
      <c r="I62">
        <f>IF($A62="","",I61+H62)</f>
        <v/>
      </c>
    </row>
    <row r="63">
      <c r="A63">
        <f>IF(Inputs!$A70="","",Inputs!$A70)</f>
        <v/>
      </c>
      <c r="B63">
        <f>IF($A63="","",Inputs!$B70)</f>
        <v/>
      </c>
      <c r="C63">
        <f>IF($A63="","",E62)</f>
        <v/>
      </c>
      <c r="D63">
        <f>IF($A63="","",IF(AND(B63&lt;=$B$1,C63&lt;Inputs!$B$4),MIN(Inputs!$B$3*Inputs!$B$9*Inputs!$B$6,Inputs!$B$4-C63),IF(AND(B63&gt;=$B$2,C63&gt;0),-MIN(Inputs!$B$3*Inputs!$B$9,C63),0)))</f>
        <v/>
      </c>
      <c r="E63">
        <f>IF($A63="","",C63+D63)</f>
        <v/>
      </c>
      <c r="F63">
        <f>IF($A63="","",IF(D63&gt;0,-D63/Inputs!$B$6,-D63))</f>
        <v/>
      </c>
      <c r="G63">
        <f>IF($A63="","",F63/Inputs!$B$9)</f>
        <v/>
      </c>
      <c r="H63">
        <f>IF($A63="","",B63*F63)</f>
        <v/>
      </c>
      <c r="I63">
        <f>IF($A63="","",I62+H63)</f>
        <v/>
      </c>
    </row>
    <row r="64">
      <c r="A64">
        <f>IF(Inputs!$A71="","",Inputs!$A71)</f>
        <v/>
      </c>
      <c r="B64">
        <f>IF($A64="","",Inputs!$B71)</f>
        <v/>
      </c>
      <c r="C64">
        <f>IF($A64="","",E63)</f>
        <v/>
      </c>
      <c r="D64">
        <f>IF($A64="","",IF(AND(B64&lt;=$B$1,C64&lt;Inputs!$B$4),MIN(Inputs!$B$3*Inputs!$B$9*Inputs!$B$6,Inputs!$B$4-C64),IF(AND(B64&gt;=$B$2,C64&gt;0),-MIN(Inputs!$B$3*Inputs!$B$9,C64),0)))</f>
        <v/>
      </c>
      <c r="E64">
        <f>IF($A64="","",C64+D64)</f>
        <v/>
      </c>
      <c r="F64">
        <f>IF($A64="","",IF(D64&gt;0,-D64/Inputs!$B$6,-D64))</f>
        <v/>
      </c>
      <c r="G64">
        <f>IF($A64="","",F64/Inputs!$B$9)</f>
        <v/>
      </c>
      <c r="H64">
        <f>IF($A64="","",B64*F64)</f>
        <v/>
      </c>
      <c r="I64">
        <f>IF($A64="","",I63+H64)</f>
        <v/>
      </c>
    </row>
    <row r="65">
      <c r="A65">
        <f>IF(Inputs!$A72="","",Inputs!$A72)</f>
        <v/>
      </c>
      <c r="B65">
        <f>IF($A65="","",Inputs!$B72)</f>
        <v/>
      </c>
      <c r="C65">
        <f>IF($A65="","",E64)</f>
        <v/>
      </c>
      <c r="D65">
        <f>IF($A65="","",IF(AND(B65&lt;=$B$1,C65&lt;Inputs!$B$4),MIN(Inputs!$B$3*Inputs!$B$9*Inputs!$B$6,Inputs!$B$4-C65),IF(AND(B65&gt;=$B$2,C65&gt;0),-MIN(Inputs!$B$3*Inputs!$B$9,C65),0)))</f>
        <v/>
      </c>
      <c r="E65">
        <f>IF($A65="","",C65+D65)</f>
        <v/>
      </c>
      <c r="F65">
        <f>IF($A65="","",IF(D65&gt;0,-D65/Inputs!$B$6,-D65))</f>
        <v/>
      </c>
      <c r="G65">
        <f>IF($A65="","",F65/Inputs!$B$9)</f>
        <v/>
      </c>
      <c r="H65">
        <f>IF($A65="","",B65*F65)</f>
        <v/>
      </c>
      <c r="I65">
        <f>IF($A65="","",I64+H65)</f>
        <v/>
      </c>
    </row>
    <row r="66">
      <c r="A66">
        <f>IF(Inputs!$A73="","",Inputs!$A73)</f>
        <v/>
      </c>
      <c r="B66">
        <f>IF($A66="","",Inputs!$B73)</f>
        <v/>
      </c>
      <c r="C66">
        <f>IF($A66="","",E65)</f>
        <v/>
      </c>
      <c r="D66">
        <f>IF($A66="","",IF(AND(B66&lt;=$B$1,C66&lt;Inputs!$B$4),MIN(Inputs!$B$3*Inputs!$B$9*Inputs!$B$6,Inputs!$B$4-C66),IF(AND(B66&gt;=$B$2,C66&gt;0),-MIN(Inputs!$B$3*Inputs!$B$9,C66),0)))</f>
        <v/>
      </c>
      <c r="E66">
        <f>IF($A66="","",C66+D66)</f>
        <v/>
      </c>
      <c r="F66">
        <f>IF($A66="","",IF(D66&gt;0,-D66/Inputs!$B$6,-D66))</f>
        <v/>
      </c>
      <c r="G66">
        <f>IF($A66="","",F66/Inputs!$B$9)</f>
        <v/>
      </c>
      <c r="H66">
        <f>IF($A66="","",B66*F66)</f>
        <v/>
      </c>
      <c r="I66">
        <f>IF($A66="","",I65+H66)</f>
        <v/>
      </c>
    </row>
    <row r="67">
      <c r="A67">
        <f>IF(Inputs!$A74="","",Inputs!$A74)</f>
        <v/>
      </c>
      <c r="B67">
        <f>IF($A67="","",Inputs!$B74)</f>
        <v/>
      </c>
      <c r="C67">
        <f>IF($A67="","",E66)</f>
        <v/>
      </c>
      <c r="D67">
        <f>IF($A67="","",IF(AND(B67&lt;=$B$1,C67&lt;Inputs!$B$4),MIN(Inputs!$B$3*Inputs!$B$9*Inputs!$B$6,Inputs!$B$4-C67),IF(AND(B67&gt;=$B$2,C67&gt;0),-MIN(Inputs!$B$3*Inputs!$B$9,C67),0)))</f>
        <v/>
      </c>
      <c r="E67">
        <f>IF($A67="","",C67+D67)</f>
        <v/>
      </c>
      <c r="F67">
        <f>IF($A67="","",IF(D67&gt;0,-D67/Inputs!$B$6,-D67))</f>
        <v/>
      </c>
      <c r="G67">
        <f>IF($A67="","",F67/Inputs!$B$9)</f>
        <v/>
      </c>
      <c r="H67">
        <f>IF($A67="","",B67*F67)</f>
        <v/>
      </c>
      <c r="I67">
        <f>IF($A67="","",I66+H67)</f>
        <v/>
      </c>
    </row>
    <row r="68">
      <c r="A68">
        <f>IF(Inputs!$A75="","",Inputs!$A75)</f>
        <v/>
      </c>
      <c r="B68">
        <f>IF($A68="","",Inputs!$B75)</f>
        <v/>
      </c>
      <c r="C68">
        <f>IF($A68="","",E67)</f>
        <v/>
      </c>
      <c r="D68">
        <f>IF($A68="","",IF(AND(B68&lt;=$B$1,C68&lt;Inputs!$B$4),MIN(Inputs!$B$3*Inputs!$B$9*Inputs!$B$6,Inputs!$B$4-C68),IF(AND(B68&gt;=$B$2,C68&gt;0),-MIN(Inputs!$B$3*Inputs!$B$9,C68),0)))</f>
        <v/>
      </c>
      <c r="E68">
        <f>IF($A68="","",C68+D68)</f>
        <v/>
      </c>
      <c r="F68">
        <f>IF($A68="","",IF(D68&gt;0,-D68/Inputs!$B$6,-D68))</f>
        <v/>
      </c>
      <c r="G68">
        <f>IF($A68="","",F68/Inputs!$B$9)</f>
        <v/>
      </c>
      <c r="H68">
        <f>IF($A68="","",B68*F68)</f>
        <v/>
      </c>
      <c r="I68">
        <f>IF($A68="","",I67+H68)</f>
        <v/>
      </c>
    </row>
    <row r="69">
      <c r="A69">
        <f>IF(Inputs!$A76="","",Inputs!$A76)</f>
        <v/>
      </c>
      <c r="B69">
        <f>IF($A69="","",Inputs!$B76)</f>
        <v/>
      </c>
      <c r="C69">
        <f>IF($A69="","",E68)</f>
        <v/>
      </c>
      <c r="D69">
        <f>IF($A69="","",IF(AND(B69&lt;=$B$1,C69&lt;Inputs!$B$4),MIN(Inputs!$B$3*Inputs!$B$9*Inputs!$B$6,Inputs!$B$4-C69),IF(AND(B69&gt;=$B$2,C69&gt;0),-MIN(Inputs!$B$3*Inputs!$B$9,C69),0)))</f>
        <v/>
      </c>
      <c r="E69">
        <f>IF($A69="","",C69+D69)</f>
        <v/>
      </c>
      <c r="F69">
        <f>IF($A69="","",IF(D69&gt;0,-D69/Inputs!$B$6,-D69))</f>
        <v/>
      </c>
      <c r="G69">
        <f>IF($A69="","",F69/Inputs!$B$9)</f>
        <v/>
      </c>
      <c r="H69">
        <f>IF($A69="","",B69*F69)</f>
        <v/>
      </c>
      <c r="I69">
        <f>IF($A69="","",I68+H69)</f>
        <v/>
      </c>
    </row>
    <row r="70">
      <c r="A70">
        <f>IF(Inputs!$A77="","",Inputs!$A77)</f>
        <v/>
      </c>
      <c r="B70">
        <f>IF($A70="","",Inputs!$B77)</f>
        <v/>
      </c>
      <c r="C70">
        <f>IF($A70="","",E69)</f>
        <v/>
      </c>
      <c r="D70">
        <f>IF($A70="","",IF(AND(B70&lt;=$B$1,C70&lt;Inputs!$B$4),MIN(Inputs!$B$3*Inputs!$B$9*Inputs!$B$6,Inputs!$B$4-C70),IF(AND(B70&gt;=$B$2,C70&gt;0),-MIN(Inputs!$B$3*Inputs!$B$9,C70),0)))</f>
        <v/>
      </c>
      <c r="E70">
        <f>IF($A70="","",C70+D70)</f>
        <v/>
      </c>
      <c r="F70">
        <f>IF($A70="","",IF(D70&gt;0,-D70/Inputs!$B$6,-D70))</f>
        <v/>
      </c>
      <c r="G70">
        <f>IF($A70="","",F70/Inputs!$B$9)</f>
        <v/>
      </c>
      <c r="H70">
        <f>IF($A70="","",B70*F70)</f>
        <v/>
      </c>
      <c r="I70">
        <f>IF($A70="","",I69+H70)</f>
        <v/>
      </c>
    </row>
    <row r="71">
      <c r="A71">
        <f>IF(Inputs!$A78="","",Inputs!$A78)</f>
        <v/>
      </c>
      <c r="B71">
        <f>IF($A71="","",Inputs!$B78)</f>
        <v/>
      </c>
      <c r="C71">
        <f>IF($A71="","",E70)</f>
        <v/>
      </c>
      <c r="D71">
        <f>IF($A71="","",IF(AND(B71&lt;=$B$1,C71&lt;Inputs!$B$4),MIN(Inputs!$B$3*Inputs!$B$9*Inputs!$B$6,Inputs!$B$4-C71),IF(AND(B71&gt;=$B$2,C71&gt;0),-MIN(Inputs!$B$3*Inputs!$B$9,C71),0)))</f>
        <v/>
      </c>
      <c r="E71">
        <f>IF($A71="","",C71+D71)</f>
        <v/>
      </c>
      <c r="F71">
        <f>IF($A71="","",IF(D71&gt;0,-D71/Inputs!$B$6,-D71))</f>
        <v/>
      </c>
      <c r="G71">
        <f>IF($A71="","",F71/Inputs!$B$9)</f>
        <v/>
      </c>
      <c r="H71">
        <f>IF($A71="","",B71*F71)</f>
        <v/>
      </c>
      <c r="I71">
        <f>IF($A71="","",I70+H71)</f>
        <v/>
      </c>
    </row>
    <row r="72">
      <c r="A72">
        <f>IF(Inputs!$A79="","",Inputs!$A79)</f>
        <v/>
      </c>
      <c r="B72">
        <f>IF($A72="","",Inputs!$B79)</f>
        <v/>
      </c>
      <c r="C72">
        <f>IF($A72="","",E71)</f>
        <v/>
      </c>
      <c r="D72">
        <f>IF($A72="","",IF(AND(B72&lt;=$B$1,C72&lt;Inputs!$B$4),MIN(Inputs!$B$3*Inputs!$B$9*Inputs!$B$6,Inputs!$B$4-C72),IF(AND(B72&gt;=$B$2,C72&gt;0),-MIN(Inputs!$B$3*Inputs!$B$9,C72),0)))</f>
        <v/>
      </c>
      <c r="E72">
        <f>IF($A72="","",C72+D72)</f>
        <v/>
      </c>
      <c r="F72">
        <f>IF($A72="","",IF(D72&gt;0,-D72/Inputs!$B$6,-D72))</f>
        <v/>
      </c>
      <c r="G72">
        <f>IF($A72="","",F72/Inputs!$B$9)</f>
        <v/>
      </c>
      <c r="H72">
        <f>IF($A72="","",B72*F72)</f>
        <v/>
      </c>
      <c r="I72">
        <f>IF($A72="","",I71+H72)</f>
        <v/>
      </c>
    </row>
    <row r="73">
      <c r="A73">
        <f>IF(Inputs!$A80="","",Inputs!$A80)</f>
        <v/>
      </c>
      <c r="B73">
        <f>IF($A73="","",Inputs!$B80)</f>
        <v/>
      </c>
      <c r="C73">
        <f>IF($A73="","",E72)</f>
        <v/>
      </c>
      <c r="D73">
        <f>IF($A73="","",IF(AND(B73&lt;=$B$1,C73&lt;Inputs!$B$4),MIN(Inputs!$B$3*Inputs!$B$9*Inputs!$B$6,Inputs!$B$4-C73),IF(AND(B73&gt;=$B$2,C73&gt;0),-MIN(Inputs!$B$3*Inputs!$B$9,C73),0)))</f>
        <v/>
      </c>
      <c r="E73">
        <f>IF($A73="","",C73+D73)</f>
        <v/>
      </c>
      <c r="F73">
        <f>IF($A73="","",IF(D73&gt;0,-D73/Inputs!$B$6,-D73))</f>
        <v/>
      </c>
      <c r="G73">
        <f>IF($A73="","",F73/Inputs!$B$9)</f>
        <v/>
      </c>
      <c r="H73">
        <f>IF($A73="","",B73*F73)</f>
        <v/>
      </c>
      <c r="I73">
        <f>IF($A73="","",I72+H73)</f>
        <v/>
      </c>
    </row>
    <row r="74">
      <c r="A74">
        <f>IF(Inputs!$A81="","",Inputs!$A81)</f>
        <v/>
      </c>
      <c r="B74">
        <f>IF($A74="","",Inputs!$B81)</f>
        <v/>
      </c>
      <c r="C74">
        <f>IF($A74="","",E73)</f>
        <v/>
      </c>
      <c r="D74">
        <f>IF($A74="","",IF(AND(B74&lt;=$B$1,C74&lt;Inputs!$B$4),MIN(Inputs!$B$3*Inputs!$B$9*Inputs!$B$6,Inputs!$B$4-C74),IF(AND(B74&gt;=$B$2,C74&gt;0),-MIN(Inputs!$B$3*Inputs!$B$9,C74),0)))</f>
        <v/>
      </c>
      <c r="E74">
        <f>IF($A74="","",C74+D74)</f>
        <v/>
      </c>
      <c r="F74">
        <f>IF($A74="","",IF(D74&gt;0,-D74/Inputs!$B$6,-D74))</f>
        <v/>
      </c>
      <c r="G74">
        <f>IF($A74="","",F74/Inputs!$B$9)</f>
        <v/>
      </c>
      <c r="H74">
        <f>IF($A74="","",B74*F74)</f>
        <v/>
      </c>
      <c r="I74">
        <f>IF($A74="","",I73+H74)</f>
        <v/>
      </c>
    </row>
    <row r="75">
      <c r="A75">
        <f>IF(Inputs!$A82="","",Inputs!$A82)</f>
        <v/>
      </c>
      <c r="B75">
        <f>IF($A75="","",Inputs!$B82)</f>
        <v/>
      </c>
      <c r="C75">
        <f>IF($A75="","",E74)</f>
        <v/>
      </c>
      <c r="D75">
        <f>IF($A75="","",IF(AND(B75&lt;=$B$1,C75&lt;Inputs!$B$4),MIN(Inputs!$B$3*Inputs!$B$9*Inputs!$B$6,Inputs!$B$4-C75),IF(AND(B75&gt;=$B$2,C75&gt;0),-MIN(Inputs!$B$3*Inputs!$B$9,C75),0)))</f>
        <v/>
      </c>
      <c r="E75">
        <f>IF($A75="","",C75+D75)</f>
        <v/>
      </c>
      <c r="F75">
        <f>IF($A75="","",IF(D75&gt;0,-D75/Inputs!$B$6,-D75))</f>
        <v/>
      </c>
      <c r="G75">
        <f>IF($A75="","",F75/Inputs!$B$9)</f>
        <v/>
      </c>
      <c r="H75">
        <f>IF($A75="","",B75*F75)</f>
        <v/>
      </c>
      <c r="I75">
        <f>IF($A75="","",I74+H75)</f>
        <v/>
      </c>
    </row>
    <row r="76">
      <c r="A76">
        <f>IF(Inputs!$A83="","",Inputs!$A83)</f>
        <v/>
      </c>
      <c r="B76">
        <f>IF($A76="","",Inputs!$B83)</f>
        <v/>
      </c>
      <c r="C76">
        <f>IF($A76="","",E75)</f>
        <v/>
      </c>
      <c r="D76">
        <f>IF($A76="","",IF(AND(B76&lt;=$B$1,C76&lt;Inputs!$B$4),MIN(Inputs!$B$3*Inputs!$B$9*Inputs!$B$6,Inputs!$B$4-C76),IF(AND(B76&gt;=$B$2,C76&gt;0),-MIN(Inputs!$B$3*Inputs!$B$9,C76),0)))</f>
        <v/>
      </c>
      <c r="E76">
        <f>IF($A76="","",C76+D76)</f>
        <v/>
      </c>
      <c r="F76">
        <f>IF($A76="","",IF(D76&gt;0,-D76/Inputs!$B$6,-D76))</f>
        <v/>
      </c>
      <c r="G76">
        <f>IF($A76="","",F76/Inputs!$B$9)</f>
        <v/>
      </c>
      <c r="H76">
        <f>IF($A76="","",B76*F76)</f>
        <v/>
      </c>
      <c r="I76">
        <f>IF($A76="","",I75+H76)</f>
        <v/>
      </c>
    </row>
    <row r="77">
      <c r="A77">
        <f>IF(Inputs!$A84="","",Inputs!$A84)</f>
        <v/>
      </c>
      <c r="B77">
        <f>IF($A77="","",Inputs!$B84)</f>
        <v/>
      </c>
      <c r="C77">
        <f>IF($A77="","",E76)</f>
        <v/>
      </c>
      <c r="D77">
        <f>IF($A77="","",IF(AND(B77&lt;=$B$1,C77&lt;Inputs!$B$4),MIN(Inputs!$B$3*Inputs!$B$9*Inputs!$B$6,Inputs!$B$4-C77),IF(AND(B77&gt;=$B$2,C77&gt;0),-MIN(Inputs!$B$3*Inputs!$B$9,C77),0)))</f>
        <v/>
      </c>
      <c r="E77">
        <f>IF($A77="","",C77+D77)</f>
        <v/>
      </c>
      <c r="F77">
        <f>IF($A77="","",IF(D77&gt;0,-D77/Inputs!$B$6,-D77))</f>
        <v/>
      </c>
      <c r="G77">
        <f>IF($A77="","",F77/Inputs!$B$9)</f>
        <v/>
      </c>
      <c r="H77">
        <f>IF($A77="","",B77*F77)</f>
        <v/>
      </c>
      <c r="I77">
        <f>IF($A77="","",I76+H77)</f>
        <v/>
      </c>
    </row>
    <row r="78">
      <c r="A78">
        <f>IF(Inputs!$A85="","",Inputs!$A85)</f>
        <v/>
      </c>
      <c r="B78">
        <f>IF($A78="","",Inputs!$B85)</f>
        <v/>
      </c>
      <c r="C78">
        <f>IF($A78="","",E77)</f>
        <v/>
      </c>
      <c r="D78">
        <f>IF($A78="","",IF(AND(B78&lt;=$B$1,C78&lt;Inputs!$B$4),MIN(Inputs!$B$3*Inputs!$B$9*Inputs!$B$6,Inputs!$B$4-C78),IF(AND(B78&gt;=$B$2,C78&gt;0),-MIN(Inputs!$B$3*Inputs!$B$9,C78),0)))</f>
        <v/>
      </c>
      <c r="E78">
        <f>IF($A78="","",C78+D78)</f>
        <v/>
      </c>
      <c r="F78">
        <f>IF($A78="","",IF(D78&gt;0,-D78/Inputs!$B$6,-D78))</f>
        <v/>
      </c>
      <c r="G78">
        <f>IF($A78="","",F78/Inputs!$B$9)</f>
        <v/>
      </c>
      <c r="H78">
        <f>IF($A78="","",B78*F78)</f>
        <v/>
      </c>
      <c r="I78">
        <f>IF($A78="","",I77+H78)</f>
        <v/>
      </c>
    </row>
    <row r="79">
      <c r="A79">
        <f>IF(Inputs!$A86="","",Inputs!$A86)</f>
        <v/>
      </c>
      <c r="B79">
        <f>IF($A79="","",Inputs!$B86)</f>
        <v/>
      </c>
      <c r="C79">
        <f>IF($A79="","",E78)</f>
        <v/>
      </c>
      <c r="D79">
        <f>IF($A79="","",IF(AND(B79&lt;=$B$1,C79&lt;Inputs!$B$4),MIN(Inputs!$B$3*Inputs!$B$9*Inputs!$B$6,Inputs!$B$4-C79),IF(AND(B79&gt;=$B$2,C79&gt;0),-MIN(Inputs!$B$3*Inputs!$B$9,C79),0)))</f>
        <v/>
      </c>
      <c r="E79">
        <f>IF($A79="","",C79+D79)</f>
        <v/>
      </c>
      <c r="F79">
        <f>IF($A79="","",IF(D79&gt;0,-D79/Inputs!$B$6,-D79))</f>
        <v/>
      </c>
      <c r="G79">
        <f>IF($A79="","",F79/Inputs!$B$9)</f>
        <v/>
      </c>
      <c r="H79">
        <f>IF($A79="","",B79*F79)</f>
        <v/>
      </c>
      <c r="I79">
        <f>IF($A79="","",I78+H79)</f>
        <v/>
      </c>
    </row>
    <row r="80">
      <c r="A80">
        <f>IF(Inputs!$A87="","",Inputs!$A87)</f>
        <v/>
      </c>
      <c r="B80">
        <f>IF($A80="","",Inputs!$B87)</f>
        <v/>
      </c>
      <c r="C80">
        <f>IF($A80="","",E79)</f>
        <v/>
      </c>
      <c r="D80">
        <f>IF($A80="","",IF(AND(B80&lt;=$B$1,C80&lt;Inputs!$B$4),MIN(Inputs!$B$3*Inputs!$B$9*Inputs!$B$6,Inputs!$B$4-C80),IF(AND(B80&gt;=$B$2,C80&gt;0),-MIN(Inputs!$B$3*Inputs!$B$9,C80),0)))</f>
        <v/>
      </c>
      <c r="E80">
        <f>IF($A80="","",C80+D80)</f>
        <v/>
      </c>
      <c r="F80">
        <f>IF($A80="","",IF(D80&gt;0,-D80/Inputs!$B$6,-D80))</f>
        <v/>
      </c>
      <c r="G80">
        <f>IF($A80="","",F80/Inputs!$B$9)</f>
        <v/>
      </c>
      <c r="H80">
        <f>IF($A80="","",B80*F80)</f>
        <v/>
      </c>
      <c r="I80">
        <f>IF($A80="","",I79+H80)</f>
        <v/>
      </c>
    </row>
    <row r="81">
      <c r="A81">
        <f>IF(Inputs!$A88="","",Inputs!$A88)</f>
        <v/>
      </c>
      <c r="B81">
        <f>IF($A81="","",Inputs!$B88)</f>
        <v/>
      </c>
      <c r="C81">
        <f>IF($A81="","",E80)</f>
        <v/>
      </c>
      <c r="D81">
        <f>IF($A81="","",IF(AND(B81&lt;=$B$1,C81&lt;Inputs!$B$4),MIN(Inputs!$B$3*Inputs!$B$9*Inputs!$B$6,Inputs!$B$4-C81),IF(AND(B81&gt;=$B$2,C81&gt;0),-MIN(Inputs!$B$3*Inputs!$B$9,C81),0)))</f>
        <v/>
      </c>
      <c r="E81">
        <f>IF($A81="","",C81+D81)</f>
        <v/>
      </c>
      <c r="F81">
        <f>IF($A81="","",IF(D81&gt;0,-D81/Inputs!$B$6,-D81))</f>
        <v/>
      </c>
      <c r="G81">
        <f>IF($A81="","",F81/Inputs!$B$9)</f>
        <v/>
      </c>
      <c r="H81">
        <f>IF($A81="","",B81*F81)</f>
        <v/>
      </c>
      <c r="I81">
        <f>IF($A81="","",I80+H81)</f>
        <v/>
      </c>
    </row>
    <row r="82">
      <c r="A82">
        <f>IF(Inputs!$A89="","",Inputs!$A89)</f>
        <v/>
      </c>
      <c r="B82">
        <f>IF($A82="","",Inputs!$B89)</f>
        <v/>
      </c>
      <c r="C82">
        <f>IF($A82="","",E81)</f>
        <v/>
      </c>
      <c r="D82">
        <f>IF($A82="","",IF(AND(B82&lt;=$B$1,C82&lt;Inputs!$B$4),MIN(Inputs!$B$3*Inputs!$B$9*Inputs!$B$6,Inputs!$B$4-C82),IF(AND(B82&gt;=$B$2,C82&gt;0),-MIN(Inputs!$B$3*Inputs!$B$9,C82),0)))</f>
        <v/>
      </c>
      <c r="E82">
        <f>IF($A82="","",C82+D82)</f>
        <v/>
      </c>
      <c r="F82">
        <f>IF($A82="","",IF(D82&gt;0,-D82/Inputs!$B$6,-D82))</f>
        <v/>
      </c>
      <c r="G82">
        <f>IF($A82="","",F82/Inputs!$B$9)</f>
        <v/>
      </c>
      <c r="H82">
        <f>IF($A82="","",B82*F82)</f>
        <v/>
      </c>
      <c r="I82">
        <f>IF($A82="","",I81+H82)</f>
        <v/>
      </c>
    </row>
    <row r="83">
      <c r="A83">
        <f>IF(Inputs!$A90="","",Inputs!$A90)</f>
        <v/>
      </c>
      <c r="B83">
        <f>IF($A83="","",Inputs!$B90)</f>
        <v/>
      </c>
      <c r="C83">
        <f>IF($A83="","",E82)</f>
        <v/>
      </c>
      <c r="D83">
        <f>IF($A83="","",IF(AND(B83&lt;=$B$1,C83&lt;Inputs!$B$4),MIN(Inputs!$B$3*Inputs!$B$9*Inputs!$B$6,Inputs!$B$4-C83),IF(AND(B83&gt;=$B$2,C83&gt;0),-MIN(Inputs!$B$3*Inputs!$B$9,C83),0)))</f>
        <v/>
      </c>
      <c r="E83">
        <f>IF($A83="","",C83+D83)</f>
        <v/>
      </c>
      <c r="F83">
        <f>IF($A83="","",IF(D83&gt;0,-D83/Inputs!$B$6,-D83))</f>
        <v/>
      </c>
      <c r="G83">
        <f>IF($A83="","",F83/Inputs!$B$9)</f>
        <v/>
      </c>
      <c r="H83">
        <f>IF($A83="","",B83*F83)</f>
        <v/>
      </c>
      <c r="I83">
        <f>IF($A83="","",I82+H83)</f>
        <v/>
      </c>
    </row>
    <row r="84">
      <c r="A84">
        <f>IF(Inputs!$A91="","",Inputs!$A91)</f>
        <v/>
      </c>
      <c r="B84">
        <f>IF($A84="","",Inputs!$B91)</f>
        <v/>
      </c>
      <c r="C84">
        <f>IF($A84="","",E83)</f>
        <v/>
      </c>
      <c r="D84">
        <f>IF($A84="","",IF(AND(B84&lt;=$B$1,C84&lt;Inputs!$B$4),MIN(Inputs!$B$3*Inputs!$B$9*Inputs!$B$6,Inputs!$B$4-C84),IF(AND(B84&gt;=$B$2,C84&gt;0),-MIN(Inputs!$B$3*Inputs!$B$9,C84),0)))</f>
        <v/>
      </c>
      <c r="E84">
        <f>IF($A84="","",C84+D84)</f>
        <v/>
      </c>
      <c r="F84">
        <f>IF($A84="","",IF(D84&gt;0,-D84/Inputs!$B$6,-D84))</f>
        <v/>
      </c>
      <c r="G84">
        <f>IF($A84="","",F84/Inputs!$B$9)</f>
        <v/>
      </c>
      <c r="H84">
        <f>IF($A84="","",B84*F84)</f>
        <v/>
      </c>
      <c r="I84">
        <f>IF($A84="","",I83+H84)</f>
        <v/>
      </c>
    </row>
    <row r="85">
      <c r="A85">
        <f>IF(Inputs!$A92="","",Inputs!$A92)</f>
        <v/>
      </c>
      <c r="B85">
        <f>IF($A85="","",Inputs!$B92)</f>
        <v/>
      </c>
      <c r="C85">
        <f>IF($A85="","",E84)</f>
        <v/>
      </c>
      <c r="D85">
        <f>IF($A85="","",IF(AND(B85&lt;=$B$1,C85&lt;Inputs!$B$4),MIN(Inputs!$B$3*Inputs!$B$9*Inputs!$B$6,Inputs!$B$4-C85),IF(AND(B85&gt;=$B$2,C85&gt;0),-MIN(Inputs!$B$3*Inputs!$B$9,C85),0)))</f>
        <v/>
      </c>
      <c r="E85">
        <f>IF($A85="","",C85+D85)</f>
        <v/>
      </c>
      <c r="F85">
        <f>IF($A85="","",IF(D85&gt;0,-D85/Inputs!$B$6,-D85))</f>
        <v/>
      </c>
      <c r="G85">
        <f>IF($A85="","",F85/Inputs!$B$9)</f>
        <v/>
      </c>
      <c r="H85">
        <f>IF($A85="","",B85*F85)</f>
        <v/>
      </c>
      <c r="I85">
        <f>IF($A85="","",I84+H85)</f>
        <v/>
      </c>
    </row>
    <row r="86">
      <c r="A86">
        <f>IF(Inputs!$A93="","",Inputs!$A93)</f>
        <v/>
      </c>
      <c r="B86">
        <f>IF($A86="","",Inputs!$B93)</f>
        <v/>
      </c>
      <c r="C86">
        <f>IF($A86="","",E85)</f>
        <v/>
      </c>
      <c r="D86">
        <f>IF($A86="","",IF(AND(B86&lt;=$B$1,C86&lt;Inputs!$B$4),MIN(Inputs!$B$3*Inputs!$B$9*Inputs!$B$6,Inputs!$B$4-C86),IF(AND(B86&gt;=$B$2,C86&gt;0),-MIN(Inputs!$B$3*Inputs!$B$9,C86),0)))</f>
        <v/>
      </c>
      <c r="E86">
        <f>IF($A86="","",C86+D86)</f>
        <v/>
      </c>
      <c r="F86">
        <f>IF($A86="","",IF(D86&gt;0,-D86/Inputs!$B$6,-D86))</f>
        <v/>
      </c>
      <c r="G86">
        <f>IF($A86="","",F86/Inputs!$B$9)</f>
        <v/>
      </c>
      <c r="H86">
        <f>IF($A86="","",B86*F86)</f>
        <v/>
      </c>
      <c r="I86">
        <f>IF($A86="","",I85+H86)</f>
        <v/>
      </c>
    </row>
    <row r="87">
      <c r="A87">
        <f>IF(Inputs!$A94="","",Inputs!$A94)</f>
        <v/>
      </c>
      <c r="B87">
        <f>IF($A87="","",Inputs!$B94)</f>
        <v/>
      </c>
      <c r="C87">
        <f>IF($A87="","",E86)</f>
        <v/>
      </c>
      <c r="D87">
        <f>IF($A87="","",IF(AND(B87&lt;=$B$1,C87&lt;Inputs!$B$4),MIN(Inputs!$B$3*Inputs!$B$9*Inputs!$B$6,Inputs!$B$4-C87),IF(AND(B87&gt;=$B$2,C87&gt;0),-MIN(Inputs!$B$3*Inputs!$B$9,C87),0)))</f>
        <v/>
      </c>
      <c r="E87">
        <f>IF($A87="","",C87+D87)</f>
        <v/>
      </c>
      <c r="F87">
        <f>IF($A87="","",IF(D87&gt;0,-D87/Inputs!$B$6,-D87))</f>
        <v/>
      </c>
      <c r="G87">
        <f>IF($A87="","",F87/Inputs!$B$9)</f>
        <v/>
      </c>
      <c r="H87">
        <f>IF($A87="","",B87*F87)</f>
        <v/>
      </c>
      <c r="I87">
        <f>IF($A87="","",I86+H87)</f>
        <v/>
      </c>
    </row>
    <row r="88">
      <c r="A88">
        <f>IF(Inputs!$A95="","",Inputs!$A95)</f>
        <v/>
      </c>
      <c r="B88">
        <f>IF($A88="","",Inputs!$B95)</f>
        <v/>
      </c>
      <c r="C88">
        <f>IF($A88="","",E87)</f>
        <v/>
      </c>
      <c r="D88">
        <f>IF($A88="","",IF(AND(B88&lt;=$B$1,C88&lt;Inputs!$B$4),MIN(Inputs!$B$3*Inputs!$B$9*Inputs!$B$6,Inputs!$B$4-C88),IF(AND(B88&gt;=$B$2,C88&gt;0),-MIN(Inputs!$B$3*Inputs!$B$9,C88),0)))</f>
        <v/>
      </c>
      <c r="E88">
        <f>IF($A88="","",C88+D88)</f>
        <v/>
      </c>
      <c r="F88">
        <f>IF($A88="","",IF(D88&gt;0,-D88/Inputs!$B$6,-D88))</f>
        <v/>
      </c>
      <c r="G88">
        <f>IF($A88="","",F88/Inputs!$B$9)</f>
        <v/>
      </c>
      <c r="H88">
        <f>IF($A88="","",B88*F88)</f>
        <v/>
      </c>
      <c r="I88">
        <f>IF($A88="","",I87+H88)</f>
        <v/>
      </c>
    </row>
    <row r="89">
      <c r="A89">
        <f>IF(Inputs!$A96="","",Inputs!$A96)</f>
        <v/>
      </c>
      <c r="B89">
        <f>IF($A89="","",Inputs!$B96)</f>
        <v/>
      </c>
      <c r="C89">
        <f>IF($A89="","",E88)</f>
        <v/>
      </c>
      <c r="D89">
        <f>IF($A89="","",IF(AND(B89&lt;=$B$1,C89&lt;Inputs!$B$4),MIN(Inputs!$B$3*Inputs!$B$9*Inputs!$B$6,Inputs!$B$4-C89),IF(AND(B89&gt;=$B$2,C89&gt;0),-MIN(Inputs!$B$3*Inputs!$B$9,C89),0)))</f>
        <v/>
      </c>
      <c r="E89">
        <f>IF($A89="","",C89+D89)</f>
        <v/>
      </c>
      <c r="F89">
        <f>IF($A89="","",IF(D89&gt;0,-D89/Inputs!$B$6,-D89))</f>
        <v/>
      </c>
      <c r="G89">
        <f>IF($A89="","",F89/Inputs!$B$9)</f>
        <v/>
      </c>
      <c r="H89">
        <f>IF($A89="","",B89*F89)</f>
        <v/>
      </c>
      <c r="I89">
        <f>IF($A89="","",I88+H89)</f>
        <v/>
      </c>
    </row>
    <row r="90">
      <c r="A90">
        <f>IF(Inputs!$A97="","",Inputs!$A97)</f>
        <v/>
      </c>
      <c r="B90">
        <f>IF($A90="","",Inputs!$B97)</f>
        <v/>
      </c>
      <c r="C90">
        <f>IF($A90="","",E89)</f>
        <v/>
      </c>
      <c r="D90">
        <f>IF($A90="","",IF(AND(B90&lt;=$B$1,C90&lt;Inputs!$B$4),MIN(Inputs!$B$3*Inputs!$B$9*Inputs!$B$6,Inputs!$B$4-C90),IF(AND(B90&gt;=$B$2,C90&gt;0),-MIN(Inputs!$B$3*Inputs!$B$9,C90),0)))</f>
        <v/>
      </c>
      <c r="E90">
        <f>IF($A90="","",C90+D90)</f>
        <v/>
      </c>
      <c r="F90">
        <f>IF($A90="","",IF(D90&gt;0,-D90/Inputs!$B$6,-D90))</f>
        <v/>
      </c>
      <c r="G90">
        <f>IF($A90="","",F90/Inputs!$B$9)</f>
        <v/>
      </c>
      <c r="H90">
        <f>IF($A90="","",B90*F90)</f>
        <v/>
      </c>
      <c r="I90">
        <f>IF($A90="","",I89+H90)</f>
        <v/>
      </c>
    </row>
    <row r="91">
      <c r="A91">
        <f>IF(Inputs!$A98="","",Inputs!$A98)</f>
        <v/>
      </c>
      <c r="B91">
        <f>IF($A91="","",Inputs!$B98)</f>
        <v/>
      </c>
      <c r="C91">
        <f>IF($A91="","",E90)</f>
        <v/>
      </c>
      <c r="D91">
        <f>IF($A91="","",IF(AND(B91&lt;=$B$1,C91&lt;Inputs!$B$4),MIN(Inputs!$B$3*Inputs!$B$9*Inputs!$B$6,Inputs!$B$4-C91),IF(AND(B91&gt;=$B$2,C91&gt;0),-MIN(Inputs!$B$3*Inputs!$B$9,C91),0)))</f>
        <v/>
      </c>
      <c r="E91">
        <f>IF($A91="","",C91+D91)</f>
        <v/>
      </c>
      <c r="F91">
        <f>IF($A91="","",IF(D91&gt;0,-D91/Inputs!$B$6,-D91))</f>
        <v/>
      </c>
      <c r="G91">
        <f>IF($A91="","",F91/Inputs!$B$9)</f>
        <v/>
      </c>
      <c r="H91">
        <f>IF($A91="","",B91*F91)</f>
        <v/>
      </c>
      <c r="I91">
        <f>IF($A91="","",I90+H91)</f>
        <v/>
      </c>
    </row>
    <row r="92">
      <c r="A92">
        <f>IF(Inputs!$A99="","",Inputs!$A99)</f>
        <v/>
      </c>
      <c r="B92">
        <f>IF($A92="","",Inputs!$B99)</f>
        <v/>
      </c>
      <c r="C92">
        <f>IF($A92="","",E91)</f>
        <v/>
      </c>
      <c r="D92">
        <f>IF($A92="","",IF(AND(B92&lt;=$B$1,C92&lt;Inputs!$B$4),MIN(Inputs!$B$3*Inputs!$B$9*Inputs!$B$6,Inputs!$B$4-C92),IF(AND(B92&gt;=$B$2,C92&gt;0),-MIN(Inputs!$B$3*Inputs!$B$9,C92),0)))</f>
        <v/>
      </c>
      <c r="E92">
        <f>IF($A92="","",C92+D92)</f>
        <v/>
      </c>
      <c r="F92">
        <f>IF($A92="","",IF(D92&gt;0,-D92/Inputs!$B$6,-D92))</f>
        <v/>
      </c>
      <c r="G92">
        <f>IF($A92="","",F92/Inputs!$B$9)</f>
        <v/>
      </c>
      <c r="H92">
        <f>IF($A92="","",B92*F92)</f>
        <v/>
      </c>
      <c r="I92">
        <f>IF($A92="","",I91+H92)</f>
        <v/>
      </c>
    </row>
    <row r="93">
      <c r="A93">
        <f>IF(Inputs!$A100="","",Inputs!$A100)</f>
        <v/>
      </c>
      <c r="B93">
        <f>IF($A93="","",Inputs!$B100)</f>
        <v/>
      </c>
      <c r="C93">
        <f>IF($A93="","",E92)</f>
        <v/>
      </c>
      <c r="D93">
        <f>IF($A93="","",IF(AND(B93&lt;=$B$1,C93&lt;Inputs!$B$4),MIN(Inputs!$B$3*Inputs!$B$9*Inputs!$B$6,Inputs!$B$4-C93),IF(AND(B93&gt;=$B$2,C93&gt;0),-MIN(Inputs!$B$3*Inputs!$B$9,C93),0)))</f>
        <v/>
      </c>
      <c r="E93">
        <f>IF($A93="","",C93+D93)</f>
        <v/>
      </c>
      <c r="F93">
        <f>IF($A93="","",IF(D93&gt;0,-D93/Inputs!$B$6,-D93))</f>
        <v/>
      </c>
      <c r="G93">
        <f>IF($A93="","",F93/Inputs!$B$9)</f>
        <v/>
      </c>
      <c r="H93">
        <f>IF($A93="","",B93*F93)</f>
        <v/>
      </c>
      <c r="I93">
        <f>IF($A93="","",I92+H93)</f>
        <v/>
      </c>
    </row>
    <row r="94">
      <c r="A94">
        <f>IF(Inputs!$A101="","",Inputs!$A101)</f>
        <v/>
      </c>
      <c r="B94">
        <f>IF($A94="","",Inputs!$B101)</f>
        <v/>
      </c>
      <c r="C94">
        <f>IF($A94="","",E93)</f>
        <v/>
      </c>
      <c r="D94">
        <f>IF($A94="","",IF(AND(B94&lt;=$B$1,C94&lt;Inputs!$B$4),MIN(Inputs!$B$3*Inputs!$B$9*Inputs!$B$6,Inputs!$B$4-C94),IF(AND(B94&gt;=$B$2,C94&gt;0),-MIN(Inputs!$B$3*Inputs!$B$9,C94),0)))</f>
        <v/>
      </c>
      <c r="E94">
        <f>IF($A94="","",C94+D94)</f>
        <v/>
      </c>
      <c r="F94">
        <f>IF($A94="","",IF(D94&gt;0,-D94/Inputs!$B$6,-D94))</f>
        <v/>
      </c>
      <c r="G94">
        <f>IF($A94="","",F94/Inputs!$B$9)</f>
        <v/>
      </c>
      <c r="H94">
        <f>IF($A94="","",B94*F94)</f>
        <v/>
      </c>
      <c r="I94">
        <f>IF($A94="","",I93+H94)</f>
        <v/>
      </c>
    </row>
    <row r="95">
      <c r="A95">
        <f>IF(Inputs!$A102="","",Inputs!$A102)</f>
        <v/>
      </c>
      <c r="B95">
        <f>IF($A95="","",Inputs!$B102)</f>
        <v/>
      </c>
      <c r="C95">
        <f>IF($A95="","",E94)</f>
        <v/>
      </c>
      <c r="D95">
        <f>IF($A95="","",IF(AND(B95&lt;=$B$1,C95&lt;Inputs!$B$4),MIN(Inputs!$B$3*Inputs!$B$9*Inputs!$B$6,Inputs!$B$4-C95),IF(AND(B95&gt;=$B$2,C95&gt;0),-MIN(Inputs!$B$3*Inputs!$B$9,C95),0)))</f>
        <v/>
      </c>
      <c r="E95">
        <f>IF($A95="","",C95+D95)</f>
        <v/>
      </c>
      <c r="F95">
        <f>IF($A95="","",IF(D95&gt;0,-D95/Inputs!$B$6,-D95))</f>
        <v/>
      </c>
      <c r="G95">
        <f>IF($A95="","",F95/Inputs!$B$9)</f>
        <v/>
      </c>
      <c r="H95">
        <f>IF($A95="","",B95*F95)</f>
        <v/>
      </c>
      <c r="I95">
        <f>IF($A95="","",I94+H95)</f>
        <v/>
      </c>
    </row>
    <row r="96">
      <c r="A96">
        <f>IF(Inputs!$A103="","",Inputs!$A103)</f>
        <v/>
      </c>
      <c r="B96">
        <f>IF($A96="","",Inputs!$B103)</f>
        <v/>
      </c>
      <c r="C96">
        <f>IF($A96="","",E95)</f>
        <v/>
      </c>
      <c r="D96">
        <f>IF($A96="","",IF(AND(B96&lt;=$B$1,C96&lt;Inputs!$B$4),MIN(Inputs!$B$3*Inputs!$B$9*Inputs!$B$6,Inputs!$B$4-C96),IF(AND(B96&gt;=$B$2,C96&gt;0),-MIN(Inputs!$B$3*Inputs!$B$9,C96),0)))</f>
        <v/>
      </c>
      <c r="E96">
        <f>IF($A96="","",C96+D96)</f>
        <v/>
      </c>
      <c r="F96">
        <f>IF($A96="","",IF(D96&gt;0,-D96/Inputs!$B$6,-D96))</f>
        <v/>
      </c>
      <c r="G96">
        <f>IF($A96="","",F96/Inputs!$B$9)</f>
        <v/>
      </c>
      <c r="H96">
        <f>IF($A96="","",B96*F96)</f>
        <v/>
      </c>
      <c r="I96">
        <f>IF($A96="","",I95+H96)</f>
        <v/>
      </c>
    </row>
    <row r="97">
      <c r="A97">
        <f>IF(Inputs!$A104="","",Inputs!$A104)</f>
        <v/>
      </c>
      <c r="B97">
        <f>IF($A97="","",Inputs!$B104)</f>
        <v/>
      </c>
      <c r="C97">
        <f>IF($A97="","",E96)</f>
        <v/>
      </c>
      <c r="D97">
        <f>IF($A97="","",IF(AND(B97&lt;=$B$1,C97&lt;Inputs!$B$4),MIN(Inputs!$B$3*Inputs!$B$9*Inputs!$B$6,Inputs!$B$4-C97),IF(AND(B97&gt;=$B$2,C97&gt;0),-MIN(Inputs!$B$3*Inputs!$B$9,C97),0)))</f>
        <v/>
      </c>
      <c r="E97">
        <f>IF($A97="","",C97+D97)</f>
        <v/>
      </c>
      <c r="F97">
        <f>IF($A97="","",IF(D97&gt;0,-D97/Inputs!$B$6,-D97))</f>
        <v/>
      </c>
      <c r="G97">
        <f>IF($A97="","",F97/Inputs!$B$9)</f>
        <v/>
      </c>
      <c r="H97">
        <f>IF($A97="","",B97*F97)</f>
        <v/>
      </c>
      <c r="I97">
        <f>IF($A97="","",I96+H97)</f>
        <v/>
      </c>
    </row>
    <row r="98">
      <c r="A98">
        <f>IF(Inputs!$A105="","",Inputs!$A105)</f>
        <v/>
      </c>
      <c r="B98">
        <f>IF($A98="","",Inputs!$B105)</f>
        <v/>
      </c>
      <c r="C98">
        <f>IF($A98="","",E97)</f>
        <v/>
      </c>
      <c r="D98">
        <f>IF($A98="","",IF(AND(B98&lt;=$B$1,C98&lt;Inputs!$B$4),MIN(Inputs!$B$3*Inputs!$B$9*Inputs!$B$6,Inputs!$B$4-C98),IF(AND(B98&gt;=$B$2,C98&gt;0),-MIN(Inputs!$B$3*Inputs!$B$9,C98),0)))</f>
        <v/>
      </c>
      <c r="E98">
        <f>IF($A98="","",C98+D98)</f>
        <v/>
      </c>
      <c r="F98">
        <f>IF($A98="","",IF(D98&gt;0,-D98/Inputs!$B$6,-D98))</f>
        <v/>
      </c>
      <c r="G98">
        <f>IF($A98="","",F98/Inputs!$B$9)</f>
        <v/>
      </c>
      <c r="H98">
        <f>IF($A98="","",B98*F98)</f>
        <v/>
      </c>
      <c r="I98">
        <f>IF($A98="","",I97+H98)</f>
        <v/>
      </c>
    </row>
    <row r="99">
      <c r="A99">
        <f>IF(Inputs!$A106="","",Inputs!$A106)</f>
        <v/>
      </c>
      <c r="B99">
        <f>IF($A99="","",Inputs!$B106)</f>
        <v/>
      </c>
      <c r="C99">
        <f>IF($A99="","",E98)</f>
        <v/>
      </c>
      <c r="D99">
        <f>IF($A99="","",IF(AND(B99&lt;=$B$1,C99&lt;Inputs!$B$4),MIN(Inputs!$B$3*Inputs!$B$9*Inputs!$B$6,Inputs!$B$4-C99),IF(AND(B99&gt;=$B$2,C99&gt;0),-MIN(Inputs!$B$3*Inputs!$B$9,C99),0)))</f>
        <v/>
      </c>
      <c r="E99">
        <f>IF($A99="","",C99+D99)</f>
        <v/>
      </c>
      <c r="F99">
        <f>IF($A99="","",IF(D99&gt;0,-D99/Inputs!$B$6,-D99))</f>
        <v/>
      </c>
      <c r="G99">
        <f>IF($A99="","",F99/Inputs!$B$9)</f>
        <v/>
      </c>
      <c r="H99">
        <f>IF($A99="","",B99*F99)</f>
        <v/>
      </c>
      <c r="I99">
        <f>IF($A99="","",I98+H99)</f>
        <v/>
      </c>
    </row>
    <row r="100">
      <c r="A100">
        <f>IF(Inputs!$A107="","",Inputs!$A107)</f>
        <v/>
      </c>
      <c r="B100">
        <f>IF($A100="","",Inputs!$B107)</f>
        <v/>
      </c>
      <c r="C100">
        <f>IF($A100="","",E99)</f>
        <v/>
      </c>
      <c r="D100">
        <f>IF($A100="","",IF(AND(B100&lt;=$B$1,C100&lt;Inputs!$B$4),MIN(Inputs!$B$3*Inputs!$B$9*Inputs!$B$6,Inputs!$B$4-C100),IF(AND(B100&gt;=$B$2,C100&gt;0),-MIN(Inputs!$B$3*Inputs!$B$9,C100),0)))</f>
        <v/>
      </c>
      <c r="E100">
        <f>IF($A100="","",C100+D100)</f>
        <v/>
      </c>
      <c r="F100">
        <f>IF($A100="","",IF(D100&gt;0,-D100/Inputs!$B$6,-D100))</f>
        <v/>
      </c>
      <c r="G100">
        <f>IF($A100="","",F100/Inputs!$B$9)</f>
        <v/>
      </c>
      <c r="H100">
        <f>IF($A100="","",B100*F100)</f>
        <v/>
      </c>
      <c r="I100">
        <f>IF($A100="","",I99+H100)</f>
        <v/>
      </c>
    </row>
    <row r="101">
      <c r="A101">
        <f>IF(Inputs!$A108="","",Inputs!$A108)</f>
        <v/>
      </c>
      <c r="B101">
        <f>IF($A101="","",Inputs!$B108)</f>
        <v/>
      </c>
      <c r="C101">
        <f>IF($A101="","",E100)</f>
        <v/>
      </c>
      <c r="D101">
        <f>IF($A101="","",IF(AND(B101&lt;=$B$1,C101&lt;Inputs!$B$4),MIN(Inputs!$B$3*Inputs!$B$9*Inputs!$B$6,Inputs!$B$4-C101),IF(AND(B101&gt;=$B$2,C101&gt;0),-MIN(Inputs!$B$3*Inputs!$B$9,C101),0)))</f>
        <v/>
      </c>
      <c r="E101">
        <f>IF($A101="","",C101+D101)</f>
        <v/>
      </c>
      <c r="F101">
        <f>IF($A101="","",IF(D101&gt;0,-D101/Inputs!$B$6,-D101))</f>
        <v/>
      </c>
      <c r="G101">
        <f>IF($A101="","",F101/Inputs!$B$9)</f>
        <v/>
      </c>
      <c r="H101">
        <f>IF($A101="","",B101*F101)</f>
        <v/>
      </c>
      <c r="I101">
        <f>IF($A101="","",I100+H101)</f>
        <v/>
      </c>
    </row>
    <row r="102">
      <c r="A102">
        <f>IF(Inputs!$A109="","",Inputs!$A109)</f>
        <v/>
      </c>
      <c r="B102">
        <f>IF($A102="","",Inputs!$B109)</f>
        <v/>
      </c>
      <c r="C102">
        <f>IF($A102="","",E101)</f>
        <v/>
      </c>
      <c r="D102">
        <f>IF($A102="","",IF(AND(B102&lt;=$B$1,C102&lt;Inputs!$B$4),MIN(Inputs!$B$3*Inputs!$B$9*Inputs!$B$6,Inputs!$B$4-C102),IF(AND(B102&gt;=$B$2,C102&gt;0),-MIN(Inputs!$B$3*Inputs!$B$9,C102),0)))</f>
        <v/>
      </c>
      <c r="E102">
        <f>IF($A102="","",C102+D102)</f>
        <v/>
      </c>
      <c r="F102">
        <f>IF($A102="","",IF(D102&gt;0,-D102/Inputs!$B$6,-D102))</f>
        <v/>
      </c>
      <c r="G102">
        <f>IF($A102="","",F102/Inputs!$B$9)</f>
        <v/>
      </c>
      <c r="H102">
        <f>IF($A102="","",B102*F102)</f>
        <v/>
      </c>
      <c r="I102">
        <f>IF($A102="","",I101+H102)</f>
        <v/>
      </c>
    </row>
    <row r="103">
      <c r="A103">
        <f>IF(Inputs!$A110="","",Inputs!$A110)</f>
        <v/>
      </c>
      <c r="B103">
        <f>IF($A103="","",Inputs!$B110)</f>
        <v/>
      </c>
      <c r="C103">
        <f>IF($A103="","",E102)</f>
        <v/>
      </c>
      <c r="D103">
        <f>IF($A103="","",IF(AND(B103&lt;=$B$1,C103&lt;Inputs!$B$4),MIN(Inputs!$B$3*Inputs!$B$9*Inputs!$B$6,Inputs!$B$4-C103),IF(AND(B103&gt;=$B$2,C103&gt;0),-MIN(Inputs!$B$3*Inputs!$B$9,C103),0)))</f>
        <v/>
      </c>
      <c r="E103">
        <f>IF($A103="","",C103+D103)</f>
        <v/>
      </c>
      <c r="F103">
        <f>IF($A103="","",IF(D103&gt;0,-D103/Inputs!$B$6,-D103))</f>
        <v/>
      </c>
      <c r="G103">
        <f>IF($A103="","",F103/Inputs!$B$9)</f>
        <v/>
      </c>
      <c r="H103">
        <f>IF($A103="","",B103*F103)</f>
        <v/>
      </c>
      <c r="I103">
        <f>IF($A103="","",I102+H103)</f>
        <v/>
      </c>
    </row>
    <row r="104">
      <c r="A104">
        <f>IF(Inputs!$A111="","",Inputs!$A111)</f>
        <v/>
      </c>
      <c r="B104">
        <f>IF($A104="","",Inputs!$B111)</f>
        <v/>
      </c>
      <c r="C104">
        <f>IF($A104="","",E103)</f>
        <v/>
      </c>
      <c r="D104">
        <f>IF($A104="","",IF(AND(B104&lt;=$B$1,C104&lt;Inputs!$B$4),MIN(Inputs!$B$3*Inputs!$B$9*Inputs!$B$6,Inputs!$B$4-C104),IF(AND(B104&gt;=$B$2,C104&gt;0),-MIN(Inputs!$B$3*Inputs!$B$9,C104),0)))</f>
        <v/>
      </c>
      <c r="E104">
        <f>IF($A104="","",C104+D104)</f>
        <v/>
      </c>
      <c r="F104">
        <f>IF($A104="","",IF(D104&gt;0,-D104/Inputs!$B$6,-D104))</f>
        <v/>
      </c>
      <c r="G104">
        <f>IF($A104="","",F104/Inputs!$B$9)</f>
        <v/>
      </c>
      <c r="H104">
        <f>IF($A104="","",B104*F104)</f>
        <v/>
      </c>
      <c r="I104">
        <f>IF($A104="","",I103+H104)</f>
        <v/>
      </c>
    </row>
    <row r="105">
      <c r="A105">
        <f>IF(Inputs!$A112="","",Inputs!$A112)</f>
        <v/>
      </c>
      <c r="B105">
        <f>IF($A105="","",Inputs!$B112)</f>
        <v/>
      </c>
      <c r="C105">
        <f>IF($A105="","",E104)</f>
        <v/>
      </c>
      <c r="D105">
        <f>IF($A105="","",IF(AND(B105&lt;=$B$1,C105&lt;Inputs!$B$4),MIN(Inputs!$B$3*Inputs!$B$9*Inputs!$B$6,Inputs!$B$4-C105),IF(AND(B105&gt;=$B$2,C105&gt;0),-MIN(Inputs!$B$3*Inputs!$B$9,C105),0)))</f>
        <v/>
      </c>
      <c r="E105">
        <f>IF($A105="","",C105+D105)</f>
        <v/>
      </c>
      <c r="F105">
        <f>IF($A105="","",IF(D105&gt;0,-D105/Inputs!$B$6,-D105))</f>
        <v/>
      </c>
      <c r="G105">
        <f>IF($A105="","",F105/Inputs!$B$9)</f>
        <v/>
      </c>
      <c r="H105">
        <f>IF($A105="","",B105*F105)</f>
        <v/>
      </c>
      <c r="I105">
        <f>IF($A105="","",I104+H105)</f>
        <v/>
      </c>
    </row>
    <row r="106">
      <c r="A106">
        <f>IF(Inputs!$A113="","",Inputs!$A113)</f>
        <v/>
      </c>
      <c r="B106">
        <f>IF($A106="","",Inputs!$B113)</f>
        <v/>
      </c>
      <c r="C106">
        <f>IF($A106="","",E105)</f>
        <v/>
      </c>
      <c r="D106">
        <f>IF($A106="","",IF(AND(B106&lt;=$B$1,C106&lt;Inputs!$B$4),MIN(Inputs!$B$3*Inputs!$B$9*Inputs!$B$6,Inputs!$B$4-C106),IF(AND(B106&gt;=$B$2,C106&gt;0),-MIN(Inputs!$B$3*Inputs!$B$9,C106),0)))</f>
        <v/>
      </c>
      <c r="E106">
        <f>IF($A106="","",C106+D106)</f>
        <v/>
      </c>
      <c r="F106">
        <f>IF($A106="","",IF(D106&gt;0,-D106/Inputs!$B$6,-D106))</f>
        <v/>
      </c>
      <c r="G106">
        <f>IF($A106="","",F106/Inputs!$B$9)</f>
        <v/>
      </c>
      <c r="H106">
        <f>IF($A106="","",B106*F106)</f>
        <v/>
      </c>
      <c r="I106">
        <f>IF($A106="","",I105+H106)</f>
        <v/>
      </c>
    </row>
    <row r="107">
      <c r="A107">
        <f>IF(Inputs!$A114="","",Inputs!$A114)</f>
        <v/>
      </c>
      <c r="B107">
        <f>IF($A107="","",Inputs!$B114)</f>
        <v/>
      </c>
      <c r="C107">
        <f>IF($A107="","",E106)</f>
        <v/>
      </c>
      <c r="D107">
        <f>IF($A107="","",IF(AND(B107&lt;=$B$1,C107&lt;Inputs!$B$4),MIN(Inputs!$B$3*Inputs!$B$9*Inputs!$B$6,Inputs!$B$4-C107),IF(AND(B107&gt;=$B$2,C107&gt;0),-MIN(Inputs!$B$3*Inputs!$B$9,C107),0)))</f>
        <v/>
      </c>
      <c r="E107">
        <f>IF($A107="","",C107+D107)</f>
        <v/>
      </c>
      <c r="F107">
        <f>IF($A107="","",IF(D107&gt;0,-D107/Inputs!$B$6,-D107))</f>
        <v/>
      </c>
      <c r="G107">
        <f>IF($A107="","",F107/Inputs!$B$9)</f>
        <v/>
      </c>
      <c r="H107">
        <f>IF($A107="","",B107*F107)</f>
        <v/>
      </c>
      <c r="I107">
        <f>IF($A107="","",I106+H107)</f>
        <v/>
      </c>
    </row>
    <row r="108">
      <c r="A108">
        <f>IF(Inputs!$A115="","",Inputs!$A115)</f>
        <v/>
      </c>
      <c r="B108">
        <f>IF($A108="","",Inputs!$B115)</f>
        <v/>
      </c>
      <c r="C108">
        <f>IF($A108="","",E107)</f>
        <v/>
      </c>
      <c r="D108">
        <f>IF($A108="","",IF(AND(B108&lt;=$B$1,C108&lt;Inputs!$B$4),MIN(Inputs!$B$3*Inputs!$B$9*Inputs!$B$6,Inputs!$B$4-C108),IF(AND(B108&gt;=$B$2,C108&gt;0),-MIN(Inputs!$B$3*Inputs!$B$9,C108),0)))</f>
        <v/>
      </c>
      <c r="E108">
        <f>IF($A108="","",C108+D108)</f>
        <v/>
      </c>
      <c r="F108">
        <f>IF($A108="","",IF(D108&gt;0,-D108/Inputs!$B$6,-D108))</f>
        <v/>
      </c>
      <c r="G108">
        <f>IF($A108="","",F108/Inputs!$B$9)</f>
        <v/>
      </c>
      <c r="H108">
        <f>IF($A108="","",B108*F108)</f>
        <v/>
      </c>
      <c r="I108">
        <f>IF($A108="","",I107+H108)</f>
        <v/>
      </c>
    </row>
    <row r="109">
      <c r="A109">
        <f>IF(Inputs!$A116="","",Inputs!$A116)</f>
        <v/>
      </c>
      <c r="B109">
        <f>IF($A109="","",Inputs!$B116)</f>
        <v/>
      </c>
      <c r="C109">
        <f>IF($A109="","",E108)</f>
        <v/>
      </c>
      <c r="D109">
        <f>IF($A109="","",IF(AND(B109&lt;=$B$1,C109&lt;Inputs!$B$4),MIN(Inputs!$B$3*Inputs!$B$9*Inputs!$B$6,Inputs!$B$4-C109),IF(AND(B109&gt;=$B$2,C109&gt;0),-MIN(Inputs!$B$3*Inputs!$B$9,C109),0)))</f>
        <v/>
      </c>
      <c r="E109">
        <f>IF($A109="","",C109+D109)</f>
        <v/>
      </c>
      <c r="F109">
        <f>IF($A109="","",IF(D109&gt;0,-D109/Inputs!$B$6,-D109))</f>
        <v/>
      </c>
      <c r="G109">
        <f>IF($A109="","",F109/Inputs!$B$9)</f>
        <v/>
      </c>
      <c r="H109">
        <f>IF($A109="","",B109*F109)</f>
        <v/>
      </c>
      <c r="I109">
        <f>IF($A109="","",I108+H109)</f>
        <v/>
      </c>
    </row>
    <row r="110">
      <c r="A110">
        <f>IF(Inputs!$A117="","",Inputs!$A117)</f>
        <v/>
      </c>
      <c r="B110">
        <f>IF($A110="","",Inputs!$B117)</f>
        <v/>
      </c>
      <c r="C110">
        <f>IF($A110="","",E109)</f>
        <v/>
      </c>
      <c r="D110">
        <f>IF($A110="","",IF(AND(B110&lt;=$B$1,C110&lt;Inputs!$B$4),MIN(Inputs!$B$3*Inputs!$B$9*Inputs!$B$6,Inputs!$B$4-C110),IF(AND(B110&gt;=$B$2,C110&gt;0),-MIN(Inputs!$B$3*Inputs!$B$9,C110),0)))</f>
        <v/>
      </c>
      <c r="E110">
        <f>IF($A110="","",C110+D110)</f>
        <v/>
      </c>
      <c r="F110">
        <f>IF($A110="","",IF(D110&gt;0,-D110/Inputs!$B$6,-D110))</f>
        <v/>
      </c>
      <c r="G110">
        <f>IF($A110="","",F110/Inputs!$B$9)</f>
        <v/>
      </c>
      <c r="H110">
        <f>IF($A110="","",B110*F110)</f>
        <v/>
      </c>
      <c r="I110">
        <f>IF($A110="","",I109+H110)</f>
        <v/>
      </c>
    </row>
    <row r="111">
      <c r="A111">
        <f>IF(Inputs!$A118="","",Inputs!$A118)</f>
        <v/>
      </c>
      <c r="B111">
        <f>IF($A111="","",Inputs!$B118)</f>
        <v/>
      </c>
      <c r="C111">
        <f>IF($A111="","",E110)</f>
        <v/>
      </c>
      <c r="D111">
        <f>IF($A111="","",IF(AND(B111&lt;=$B$1,C111&lt;Inputs!$B$4),MIN(Inputs!$B$3*Inputs!$B$9*Inputs!$B$6,Inputs!$B$4-C111),IF(AND(B111&gt;=$B$2,C111&gt;0),-MIN(Inputs!$B$3*Inputs!$B$9,C111),0)))</f>
        <v/>
      </c>
      <c r="E111">
        <f>IF($A111="","",C111+D111)</f>
        <v/>
      </c>
      <c r="F111">
        <f>IF($A111="","",IF(D111&gt;0,-D111/Inputs!$B$6,-D111))</f>
        <v/>
      </c>
      <c r="G111">
        <f>IF($A111="","",F111/Inputs!$B$9)</f>
        <v/>
      </c>
      <c r="H111">
        <f>IF($A111="","",B111*F111)</f>
        <v/>
      </c>
      <c r="I111">
        <f>IF($A111="","",I110+H111)</f>
        <v/>
      </c>
    </row>
    <row r="112">
      <c r="A112">
        <f>IF(Inputs!$A119="","",Inputs!$A119)</f>
        <v/>
      </c>
      <c r="B112">
        <f>IF($A112="","",Inputs!$B119)</f>
        <v/>
      </c>
      <c r="C112">
        <f>IF($A112="","",E111)</f>
        <v/>
      </c>
      <c r="D112">
        <f>IF($A112="","",IF(AND(B112&lt;=$B$1,C112&lt;Inputs!$B$4),MIN(Inputs!$B$3*Inputs!$B$9*Inputs!$B$6,Inputs!$B$4-C112),IF(AND(B112&gt;=$B$2,C112&gt;0),-MIN(Inputs!$B$3*Inputs!$B$9,C112),0)))</f>
        <v/>
      </c>
      <c r="E112">
        <f>IF($A112="","",C112+D112)</f>
        <v/>
      </c>
      <c r="F112">
        <f>IF($A112="","",IF(D112&gt;0,-D112/Inputs!$B$6,-D112))</f>
        <v/>
      </c>
      <c r="G112">
        <f>IF($A112="","",F112/Inputs!$B$9)</f>
        <v/>
      </c>
      <c r="H112">
        <f>IF($A112="","",B112*F112)</f>
        <v/>
      </c>
      <c r="I112">
        <f>IF($A112="","",I111+H112)</f>
        <v/>
      </c>
    </row>
    <row r="113">
      <c r="A113">
        <f>IF(Inputs!$A120="","",Inputs!$A120)</f>
        <v/>
      </c>
      <c r="B113">
        <f>IF($A113="","",Inputs!$B120)</f>
        <v/>
      </c>
      <c r="C113">
        <f>IF($A113="","",E112)</f>
        <v/>
      </c>
      <c r="D113">
        <f>IF($A113="","",IF(AND(B113&lt;=$B$1,C113&lt;Inputs!$B$4),MIN(Inputs!$B$3*Inputs!$B$9*Inputs!$B$6,Inputs!$B$4-C113),IF(AND(B113&gt;=$B$2,C113&gt;0),-MIN(Inputs!$B$3*Inputs!$B$9,C113),0)))</f>
        <v/>
      </c>
      <c r="E113">
        <f>IF($A113="","",C113+D113)</f>
        <v/>
      </c>
      <c r="F113">
        <f>IF($A113="","",IF(D113&gt;0,-D113/Inputs!$B$6,-D113))</f>
        <v/>
      </c>
      <c r="G113">
        <f>IF($A113="","",F113/Inputs!$B$9)</f>
        <v/>
      </c>
      <c r="H113">
        <f>IF($A113="","",B113*F113)</f>
        <v/>
      </c>
      <c r="I113">
        <f>IF($A113="","",I112+H113)</f>
        <v/>
      </c>
    </row>
    <row r="114">
      <c r="A114">
        <f>IF(Inputs!$A121="","",Inputs!$A121)</f>
        <v/>
      </c>
      <c r="B114">
        <f>IF($A114="","",Inputs!$B121)</f>
        <v/>
      </c>
      <c r="C114">
        <f>IF($A114="","",E113)</f>
        <v/>
      </c>
      <c r="D114">
        <f>IF($A114="","",IF(AND(B114&lt;=$B$1,C114&lt;Inputs!$B$4),MIN(Inputs!$B$3*Inputs!$B$9*Inputs!$B$6,Inputs!$B$4-C114),IF(AND(B114&gt;=$B$2,C114&gt;0),-MIN(Inputs!$B$3*Inputs!$B$9,C114),0)))</f>
        <v/>
      </c>
      <c r="E114">
        <f>IF($A114="","",C114+D114)</f>
        <v/>
      </c>
      <c r="F114">
        <f>IF($A114="","",IF(D114&gt;0,-D114/Inputs!$B$6,-D114))</f>
        <v/>
      </c>
      <c r="G114">
        <f>IF($A114="","",F114/Inputs!$B$9)</f>
        <v/>
      </c>
      <c r="H114">
        <f>IF($A114="","",B114*F114)</f>
        <v/>
      </c>
      <c r="I114">
        <f>IF($A114="","",I113+H114)</f>
        <v/>
      </c>
    </row>
    <row r="115">
      <c r="A115">
        <f>IF(Inputs!$A122="","",Inputs!$A122)</f>
        <v/>
      </c>
      <c r="B115">
        <f>IF($A115="","",Inputs!$B122)</f>
        <v/>
      </c>
      <c r="C115">
        <f>IF($A115="","",E114)</f>
        <v/>
      </c>
      <c r="D115">
        <f>IF($A115="","",IF(AND(B115&lt;=$B$1,C115&lt;Inputs!$B$4),MIN(Inputs!$B$3*Inputs!$B$9*Inputs!$B$6,Inputs!$B$4-C115),IF(AND(B115&gt;=$B$2,C115&gt;0),-MIN(Inputs!$B$3*Inputs!$B$9,C115),0)))</f>
        <v/>
      </c>
      <c r="E115">
        <f>IF($A115="","",C115+D115)</f>
        <v/>
      </c>
      <c r="F115">
        <f>IF($A115="","",IF(D115&gt;0,-D115/Inputs!$B$6,-D115))</f>
        <v/>
      </c>
      <c r="G115">
        <f>IF($A115="","",F115/Inputs!$B$9)</f>
        <v/>
      </c>
      <c r="H115">
        <f>IF($A115="","",B115*F115)</f>
        <v/>
      </c>
      <c r="I115">
        <f>IF($A115="","",I114+H115)</f>
        <v/>
      </c>
    </row>
    <row r="116">
      <c r="A116">
        <f>IF(Inputs!$A123="","",Inputs!$A123)</f>
        <v/>
      </c>
      <c r="B116">
        <f>IF($A116="","",Inputs!$B123)</f>
        <v/>
      </c>
      <c r="C116">
        <f>IF($A116="","",E115)</f>
        <v/>
      </c>
      <c r="D116">
        <f>IF($A116="","",IF(AND(B116&lt;=$B$1,C116&lt;Inputs!$B$4),MIN(Inputs!$B$3*Inputs!$B$9*Inputs!$B$6,Inputs!$B$4-C116),IF(AND(B116&gt;=$B$2,C116&gt;0),-MIN(Inputs!$B$3*Inputs!$B$9,C116),0)))</f>
        <v/>
      </c>
      <c r="E116">
        <f>IF($A116="","",C116+D116)</f>
        <v/>
      </c>
      <c r="F116">
        <f>IF($A116="","",IF(D116&gt;0,-D116/Inputs!$B$6,-D116))</f>
        <v/>
      </c>
      <c r="G116">
        <f>IF($A116="","",F116/Inputs!$B$9)</f>
        <v/>
      </c>
      <c r="H116">
        <f>IF($A116="","",B116*F116)</f>
        <v/>
      </c>
      <c r="I116">
        <f>IF($A116="","",I115+H116)</f>
        <v/>
      </c>
    </row>
    <row r="117">
      <c r="A117">
        <f>IF(Inputs!$A124="","",Inputs!$A124)</f>
        <v/>
      </c>
      <c r="B117">
        <f>IF($A117="","",Inputs!$B124)</f>
        <v/>
      </c>
      <c r="C117">
        <f>IF($A117="","",E116)</f>
        <v/>
      </c>
      <c r="D117">
        <f>IF($A117="","",IF(AND(B117&lt;=$B$1,C117&lt;Inputs!$B$4),MIN(Inputs!$B$3*Inputs!$B$9*Inputs!$B$6,Inputs!$B$4-C117),IF(AND(B117&gt;=$B$2,C117&gt;0),-MIN(Inputs!$B$3*Inputs!$B$9,C117),0)))</f>
        <v/>
      </c>
      <c r="E117">
        <f>IF($A117="","",C117+D117)</f>
        <v/>
      </c>
      <c r="F117">
        <f>IF($A117="","",IF(D117&gt;0,-D117/Inputs!$B$6,-D117))</f>
        <v/>
      </c>
      <c r="G117">
        <f>IF($A117="","",F117/Inputs!$B$9)</f>
        <v/>
      </c>
      <c r="H117">
        <f>IF($A117="","",B117*F117)</f>
        <v/>
      </c>
      <c r="I117">
        <f>IF($A117="","",I116+H117)</f>
        <v/>
      </c>
    </row>
    <row r="118">
      <c r="A118">
        <f>IF(Inputs!$A125="","",Inputs!$A125)</f>
        <v/>
      </c>
      <c r="B118">
        <f>IF($A118="","",Inputs!$B125)</f>
        <v/>
      </c>
      <c r="C118">
        <f>IF($A118="","",E117)</f>
        <v/>
      </c>
      <c r="D118">
        <f>IF($A118="","",IF(AND(B118&lt;=$B$1,C118&lt;Inputs!$B$4),MIN(Inputs!$B$3*Inputs!$B$9*Inputs!$B$6,Inputs!$B$4-C118),IF(AND(B118&gt;=$B$2,C118&gt;0),-MIN(Inputs!$B$3*Inputs!$B$9,C118),0)))</f>
        <v/>
      </c>
      <c r="E118">
        <f>IF($A118="","",C118+D118)</f>
        <v/>
      </c>
      <c r="F118">
        <f>IF($A118="","",IF(D118&gt;0,-D118/Inputs!$B$6,-D118))</f>
        <v/>
      </c>
      <c r="G118">
        <f>IF($A118="","",F118/Inputs!$B$9)</f>
        <v/>
      </c>
      <c r="H118">
        <f>IF($A118="","",B118*F118)</f>
        <v/>
      </c>
      <c r="I118">
        <f>IF($A118="","",I117+H118)</f>
        <v/>
      </c>
    </row>
    <row r="119">
      <c r="A119">
        <f>IF(Inputs!$A126="","",Inputs!$A126)</f>
        <v/>
      </c>
      <c r="B119">
        <f>IF($A119="","",Inputs!$B126)</f>
        <v/>
      </c>
      <c r="C119">
        <f>IF($A119="","",E118)</f>
        <v/>
      </c>
      <c r="D119">
        <f>IF($A119="","",IF(AND(B119&lt;=$B$1,C119&lt;Inputs!$B$4),MIN(Inputs!$B$3*Inputs!$B$9*Inputs!$B$6,Inputs!$B$4-C119),IF(AND(B119&gt;=$B$2,C119&gt;0),-MIN(Inputs!$B$3*Inputs!$B$9,C119),0)))</f>
        <v/>
      </c>
      <c r="E119">
        <f>IF($A119="","",C119+D119)</f>
        <v/>
      </c>
      <c r="F119">
        <f>IF($A119="","",IF(D119&gt;0,-D119/Inputs!$B$6,-D119))</f>
        <v/>
      </c>
      <c r="G119">
        <f>IF($A119="","",F119/Inputs!$B$9)</f>
        <v/>
      </c>
      <c r="H119">
        <f>IF($A119="","",B119*F119)</f>
        <v/>
      </c>
      <c r="I119">
        <f>IF($A119="","",I118+H119)</f>
        <v/>
      </c>
    </row>
    <row r="120">
      <c r="A120">
        <f>IF(Inputs!$A127="","",Inputs!$A127)</f>
        <v/>
      </c>
      <c r="B120">
        <f>IF($A120="","",Inputs!$B127)</f>
        <v/>
      </c>
      <c r="C120">
        <f>IF($A120="","",E119)</f>
        <v/>
      </c>
      <c r="D120">
        <f>IF($A120="","",IF(AND(B120&lt;=$B$1,C120&lt;Inputs!$B$4),MIN(Inputs!$B$3*Inputs!$B$9*Inputs!$B$6,Inputs!$B$4-C120),IF(AND(B120&gt;=$B$2,C120&gt;0),-MIN(Inputs!$B$3*Inputs!$B$9,C120),0)))</f>
        <v/>
      </c>
      <c r="E120">
        <f>IF($A120="","",C120+D120)</f>
        <v/>
      </c>
      <c r="F120">
        <f>IF($A120="","",IF(D120&gt;0,-D120/Inputs!$B$6,-D120))</f>
        <v/>
      </c>
      <c r="G120">
        <f>IF($A120="","",F120/Inputs!$B$9)</f>
        <v/>
      </c>
      <c r="H120">
        <f>IF($A120="","",B120*F120)</f>
        <v/>
      </c>
      <c r="I120">
        <f>IF($A120="","",I119+H120)</f>
        <v/>
      </c>
    </row>
    <row r="121">
      <c r="A121">
        <f>IF(Inputs!$A128="","",Inputs!$A128)</f>
        <v/>
      </c>
      <c r="B121">
        <f>IF($A121="","",Inputs!$B128)</f>
        <v/>
      </c>
      <c r="C121">
        <f>IF($A121="","",E120)</f>
        <v/>
      </c>
      <c r="D121">
        <f>IF($A121="","",IF(AND(B121&lt;=$B$1,C121&lt;Inputs!$B$4),MIN(Inputs!$B$3*Inputs!$B$9*Inputs!$B$6,Inputs!$B$4-C121),IF(AND(B121&gt;=$B$2,C121&gt;0),-MIN(Inputs!$B$3*Inputs!$B$9,C121),0)))</f>
        <v/>
      </c>
      <c r="E121">
        <f>IF($A121="","",C121+D121)</f>
        <v/>
      </c>
      <c r="F121">
        <f>IF($A121="","",IF(D121&gt;0,-D121/Inputs!$B$6,-D121))</f>
        <v/>
      </c>
      <c r="G121">
        <f>IF($A121="","",F121/Inputs!$B$9)</f>
        <v/>
      </c>
      <c r="H121">
        <f>IF($A121="","",B121*F121)</f>
        <v/>
      </c>
      <c r="I121">
        <f>IF($A121="","",I120+H121)</f>
        <v/>
      </c>
    </row>
    <row r="122">
      <c r="A122">
        <f>IF(Inputs!$A129="","",Inputs!$A129)</f>
        <v/>
      </c>
      <c r="B122">
        <f>IF($A122="","",Inputs!$B129)</f>
        <v/>
      </c>
      <c r="C122">
        <f>IF($A122="","",E121)</f>
        <v/>
      </c>
      <c r="D122">
        <f>IF($A122="","",IF(AND(B122&lt;=$B$1,C122&lt;Inputs!$B$4),MIN(Inputs!$B$3*Inputs!$B$9*Inputs!$B$6,Inputs!$B$4-C122),IF(AND(B122&gt;=$B$2,C122&gt;0),-MIN(Inputs!$B$3*Inputs!$B$9,C122),0)))</f>
        <v/>
      </c>
      <c r="E122">
        <f>IF($A122="","",C122+D122)</f>
        <v/>
      </c>
      <c r="F122">
        <f>IF($A122="","",IF(D122&gt;0,-D122/Inputs!$B$6,-D122))</f>
        <v/>
      </c>
      <c r="G122">
        <f>IF($A122="","",F122/Inputs!$B$9)</f>
        <v/>
      </c>
      <c r="H122">
        <f>IF($A122="","",B122*F122)</f>
        <v/>
      </c>
      <c r="I122">
        <f>IF($A122="","",I121+H122)</f>
        <v/>
      </c>
    </row>
    <row r="123">
      <c r="A123">
        <f>IF(Inputs!$A130="","",Inputs!$A130)</f>
        <v/>
      </c>
      <c r="B123">
        <f>IF($A123="","",Inputs!$B130)</f>
        <v/>
      </c>
      <c r="C123">
        <f>IF($A123="","",E122)</f>
        <v/>
      </c>
      <c r="D123">
        <f>IF($A123="","",IF(AND(B123&lt;=$B$1,C123&lt;Inputs!$B$4),MIN(Inputs!$B$3*Inputs!$B$9*Inputs!$B$6,Inputs!$B$4-C123),IF(AND(B123&gt;=$B$2,C123&gt;0),-MIN(Inputs!$B$3*Inputs!$B$9,C123),0)))</f>
        <v/>
      </c>
      <c r="E123">
        <f>IF($A123="","",C123+D123)</f>
        <v/>
      </c>
      <c r="F123">
        <f>IF($A123="","",IF(D123&gt;0,-D123/Inputs!$B$6,-D123))</f>
        <v/>
      </c>
      <c r="G123">
        <f>IF($A123="","",F123/Inputs!$B$9)</f>
        <v/>
      </c>
      <c r="H123">
        <f>IF($A123="","",B123*F123)</f>
        <v/>
      </c>
      <c r="I123">
        <f>IF($A123="","",I122+H123)</f>
        <v/>
      </c>
    </row>
    <row r="124">
      <c r="A124">
        <f>IF(Inputs!$A131="","",Inputs!$A131)</f>
        <v/>
      </c>
      <c r="B124">
        <f>IF($A124="","",Inputs!$B131)</f>
        <v/>
      </c>
      <c r="C124">
        <f>IF($A124="","",E123)</f>
        <v/>
      </c>
      <c r="D124">
        <f>IF($A124="","",IF(AND(B124&lt;=$B$1,C124&lt;Inputs!$B$4),MIN(Inputs!$B$3*Inputs!$B$9*Inputs!$B$6,Inputs!$B$4-C124),IF(AND(B124&gt;=$B$2,C124&gt;0),-MIN(Inputs!$B$3*Inputs!$B$9,C124),0)))</f>
        <v/>
      </c>
      <c r="E124">
        <f>IF($A124="","",C124+D124)</f>
        <v/>
      </c>
      <c r="F124">
        <f>IF($A124="","",IF(D124&gt;0,-D124/Inputs!$B$6,-D124))</f>
        <v/>
      </c>
      <c r="G124">
        <f>IF($A124="","",F124/Inputs!$B$9)</f>
        <v/>
      </c>
      <c r="H124">
        <f>IF($A124="","",B124*F124)</f>
        <v/>
      </c>
      <c r="I124">
        <f>IF($A124="","",I123+H124)</f>
        <v/>
      </c>
    </row>
    <row r="125">
      <c r="A125">
        <f>IF(Inputs!$A132="","",Inputs!$A132)</f>
        <v/>
      </c>
      <c r="B125">
        <f>IF($A125="","",Inputs!$B132)</f>
        <v/>
      </c>
      <c r="C125">
        <f>IF($A125="","",E124)</f>
        <v/>
      </c>
      <c r="D125">
        <f>IF($A125="","",IF(AND(B125&lt;=$B$1,C125&lt;Inputs!$B$4),MIN(Inputs!$B$3*Inputs!$B$9*Inputs!$B$6,Inputs!$B$4-C125),IF(AND(B125&gt;=$B$2,C125&gt;0),-MIN(Inputs!$B$3*Inputs!$B$9,C125),0)))</f>
        <v/>
      </c>
      <c r="E125">
        <f>IF($A125="","",C125+D125)</f>
        <v/>
      </c>
      <c r="F125">
        <f>IF($A125="","",IF(D125&gt;0,-D125/Inputs!$B$6,-D125))</f>
        <v/>
      </c>
      <c r="G125">
        <f>IF($A125="","",F125/Inputs!$B$9)</f>
        <v/>
      </c>
      <c r="H125">
        <f>IF($A125="","",B125*F125)</f>
        <v/>
      </c>
      <c r="I125">
        <f>IF($A125="","",I124+H125)</f>
        <v/>
      </c>
    </row>
    <row r="126">
      <c r="A126">
        <f>IF(Inputs!$A133="","",Inputs!$A133)</f>
        <v/>
      </c>
      <c r="B126">
        <f>IF($A126="","",Inputs!$B133)</f>
        <v/>
      </c>
      <c r="C126">
        <f>IF($A126="","",E125)</f>
        <v/>
      </c>
      <c r="D126">
        <f>IF($A126="","",IF(AND(B126&lt;=$B$1,C126&lt;Inputs!$B$4),MIN(Inputs!$B$3*Inputs!$B$9*Inputs!$B$6,Inputs!$B$4-C126),IF(AND(B126&gt;=$B$2,C126&gt;0),-MIN(Inputs!$B$3*Inputs!$B$9,C126),0)))</f>
        <v/>
      </c>
      <c r="E126">
        <f>IF($A126="","",C126+D126)</f>
        <v/>
      </c>
      <c r="F126">
        <f>IF($A126="","",IF(D126&gt;0,-D126/Inputs!$B$6,-D126))</f>
        <v/>
      </c>
      <c r="G126">
        <f>IF($A126="","",F126/Inputs!$B$9)</f>
        <v/>
      </c>
      <c r="H126">
        <f>IF($A126="","",B126*F126)</f>
        <v/>
      </c>
      <c r="I126">
        <f>IF($A126="","",I125+H126)</f>
        <v/>
      </c>
    </row>
    <row r="127">
      <c r="A127">
        <f>IF(Inputs!$A134="","",Inputs!$A134)</f>
        <v/>
      </c>
      <c r="B127">
        <f>IF($A127="","",Inputs!$B134)</f>
        <v/>
      </c>
      <c r="C127">
        <f>IF($A127="","",E126)</f>
        <v/>
      </c>
      <c r="D127">
        <f>IF($A127="","",IF(AND(B127&lt;=$B$1,C127&lt;Inputs!$B$4),MIN(Inputs!$B$3*Inputs!$B$9*Inputs!$B$6,Inputs!$B$4-C127),IF(AND(B127&gt;=$B$2,C127&gt;0),-MIN(Inputs!$B$3*Inputs!$B$9,C127),0)))</f>
        <v/>
      </c>
      <c r="E127">
        <f>IF($A127="","",C127+D127)</f>
        <v/>
      </c>
      <c r="F127">
        <f>IF($A127="","",IF(D127&gt;0,-D127/Inputs!$B$6,-D127))</f>
        <v/>
      </c>
      <c r="G127">
        <f>IF($A127="","",F127/Inputs!$B$9)</f>
        <v/>
      </c>
      <c r="H127">
        <f>IF($A127="","",B127*F127)</f>
        <v/>
      </c>
      <c r="I127">
        <f>IF($A127="","",I126+H127)</f>
        <v/>
      </c>
    </row>
    <row r="128">
      <c r="A128">
        <f>IF(Inputs!$A135="","",Inputs!$A135)</f>
        <v/>
      </c>
      <c r="B128">
        <f>IF($A128="","",Inputs!$B135)</f>
        <v/>
      </c>
      <c r="C128">
        <f>IF($A128="","",E127)</f>
        <v/>
      </c>
      <c r="D128">
        <f>IF($A128="","",IF(AND(B128&lt;=$B$1,C128&lt;Inputs!$B$4),MIN(Inputs!$B$3*Inputs!$B$9*Inputs!$B$6,Inputs!$B$4-C128),IF(AND(B128&gt;=$B$2,C128&gt;0),-MIN(Inputs!$B$3*Inputs!$B$9,C128),0)))</f>
        <v/>
      </c>
      <c r="E128">
        <f>IF($A128="","",C128+D128)</f>
        <v/>
      </c>
      <c r="F128">
        <f>IF($A128="","",IF(D128&gt;0,-D128/Inputs!$B$6,-D128))</f>
        <v/>
      </c>
      <c r="G128">
        <f>IF($A128="","",F128/Inputs!$B$9)</f>
        <v/>
      </c>
      <c r="H128">
        <f>IF($A128="","",B128*F128)</f>
        <v/>
      </c>
      <c r="I128">
        <f>IF($A128="","",I127+H128)</f>
        <v/>
      </c>
    </row>
    <row r="129">
      <c r="A129">
        <f>IF(Inputs!$A136="","",Inputs!$A136)</f>
        <v/>
      </c>
      <c r="B129">
        <f>IF($A129="","",Inputs!$B136)</f>
        <v/>
      </c>
      <c r="C129">
        <f>IF($A129="","",E128)</f>
        <v/>
      </c>
      <c r="D129">
        <f>IF($A129="","",IF(AND(B129&lt;=$B$1,C129&lt;Inputs!$B$4),MIN(Inputs!$B$3*Inputs!$B$9*Inputs!$B$6,Inputs!$B$4-C129),IF(AND(B129&gt;=$B$2,C129&gt;0),-MIN(Inputs!$B$3*Inputs!$B$9,C129),0)))</f>
        <v/>
      </c>
      <c r="E129">
        <f>IF($A129="","",C129+D129)</f>
        <v/>
      </c>
      <c r="F129">
        <f>IF($A129="","",IF(D129&gt;0,-D129/Inputs!$B$6,-D129))</f>
        <v/>
      </c>
      <c r="G129">
        <f>IF($A129="","",F129/Inputs!$B$9)</f>
        <v/>
      </c>
      <c r="H129">
        <f>IF($A129="","",B129*F129)</f>
        <v/>
      </c>
      <c r="I129">
        <f>IF($A129="","",I128+H129)</f>
        <v/>
      </c>
    </row>
    <row r="130">
      <c r="A130">
        <f>IF(Inputs!$A137="","",Inputs!$A137)</f>
        <v/>
      </c>
      <c r="B130">
        <f>IF($A130="","",Inputs!$B137)</f>
        <v/>
      </c>
      <c r="C130">
        <f>IF($A130="","",E129)</f>
        <v/>
      </c>
      <c r="D130">
        <f>IF($A130="","",IF(AND(B130&lt;=$B$1,C130&lt;Inputs!$B$4),MIN(Inputs!$B$3*Inputs!$B$9*Inputs!$B$6,Inputs!$B$4-C130),IF(AND(B130&gt;=$B$2,C130&gt;0),-MIN(Inputs!$B$3*Inputs!$B$9,C130),0)))</f>
        <v/>
      </c>
      <c r="E130">
        <f>IF($A130="","",C130+D130)</f>
        <v/>
      </c>
      <c r="F130">
        <f>IF($A130="","",IF(D130&gt;0,-D130/Inputs!$B$6,-D130))</f>
        <v/>
      </c>
      <c r="G130">
        <f>IF($A130="","",F130/Inputs!$B$9)</f>
        <v/>
      </c>
      <c r="H130">
        <f>IF($A130="","",B130*F130)</f>
        <v/>
      </c>
      <c r="I130">
        <f>IF($A130="","",I129+H130)</f>
        <v/>
      </c>
    </row>
    <row r="131">
      <c r="A131">
        <f>IF(Inputs!$A138="","",Inputs!$A138)</f>
        <v/>
      </c>
      <c r="B131">
        <f>IF($A131="","",Inputs!$B138)</f>
        <v/>
      </c>
      <c r="C131">
        <f>IF($A131="","",E130)</f>
        <v/>
      </c>
      <c r="D131">
        <f>IF($A131="","",IF(AND(B131&lt;=$B$1,C131&lt;Inputs!$B$4),MIN(Inputs!$B$3*Inputs!$B$9*Inputs!$B$6,Inputs!$B$4-C131),IF(AND(B131&gt;=$B$2,C131&gt;0),-MIN(Inputs!$B$3*Inputs!$B$9,C131),0)))</f>
        <v/>
      </c>
      <c r="E131">
        <f>IF($A131="","",C131+D131)</f>
        <v/>
      </c>
      <c r="F131">
        <f>IF($A131="","",IF(D131&gt;0,-D131/Inputs!$B$6,-D131))</f>
        <v/>
      </c>
      <c r="G131">
        <f>IF($A131="","",F131/Inputs!$B$9)</f>
        <v/>
      </c>
      <c r="H131">
        <f>IF($A131="","",B131*F131)</f>
        <v/>
      </c>
      <c r="I131">
        <f>IF($A131="","",I130+H131)</f>
        <v/>
      </c>
    </row>
    <row r="132">
      <c r="A132">
        <f>IF(Inputs!$A139="","",Inputs!$A139)</f>
        <v/>
      </c>
      <c r="B132">
        <f>IF($A132="","",Inputs!$B139)</f>
        <v/>
      </c>
      <c r="C132">
        <f>IF($A132="","",E131)</f>
        <v/>
      </c>
      <c r="D132">
        <f>IF($A132="","",IF(AND(B132&lt;=$B$1,C132&lt;Inputs!$B$4),MIN(Inputs!$B$3*Inputs!$B$9*Inputs!$B$6,Inputs!$B$4-C132),IF(AND(B132&gt;=$B$2,C132&gt;0),-MIN(Inputs!$B$3*Inputs!$B$9,C132),0)))</f>
        <v/>
      </c>
      <c r="E132">
        <f>IF($A132="","",C132+D132)</f>
        <v/>
      </c>
      <c r="F132">
        <f>IF($A132="","",IF(D132&gt;0,-D132/Inputs!$B$6,-D132))</f>
        <v/>
      </c>
      <c r="G132">
        <f>IF($A132="","",F132/Inputs!$B$9)</f>
        <v/>
      </c>
      <c r="H132">
        <f>IF($A132="","",B132*F132)</f>
        <v/>
      </c>
      <c r="I132">
        <f>IF($A132="","",I131+H132)</f>
        <v/>
      </c>
    </row>
    <row r="133">
      <c r="A133">
        <f>IF(Inputs!$A140="","",Inputs!$A140)</f>
        <v/>
      </c>
      <c r="B133">
        <f>IF($A133="","",Inputs!$B140)</f>
        <v/>
      </c>
      <c r="C133">
        <f>IF($A133="","",E132)</f>
        <v/>
      </c>
      <c r="D133">
        <f>IF($A133="","",IF(AND(B133&lt;=$B$1,C133&lt;Inputs!$B$4),MIN(Inputs!$B$3*Inputs!$B$9*Inputs!$B$6,Inputs!$B$4-C133),IF(AND(B133&gt;=$B$2,C133&gt;0),-MIN(Inputs!$B$3*Inputs!$B$9,C133),0)))</f>
        <v/>
      </c>
      <c r="E133">
        <f>IF($A133="","",C133+D133)</f>
        <v/>
      </c>
      <c r="F133">
        <f>IF($A133="","",IF(D133&gt;0,-D133/Inputs!$B$6,-D133))</f>
        <v/>
      </c>
      <c r="G133">
        <f>IF($A133="","",F133/Inputs!$B$9)</f>
        <v/>
      </c>
      <c r="H133">
        <f>IF($A133="","",B133*F133)</f>
        <v/>
      </c>
      <c r="I133">
        <f>IF($A133="","",I132+H133)</f>
        <v/>
      </c>
    </row>
    <row r="134">
      <c r="A134">
        <f>IF(Inputs!$A141="","",Inputs!$A141)</f>
        <v/>
      </c>
      <c r="B134">
        <f>IF($A134="","",Inputs!$B141)</f>
        <v/>
      </c>
      <c r="C134">
        <f>IF($A134="","",E133)</f>
        <v/>
      </c>
      <c r="D134">
        <f>IF($A134="","",IF(AND(B134&lt;=$B$1,C134&lt;Inputs!$B$4),MIN(Inputs!$B$3*Inputs!$B$9*Inputs!$B$6,Inputs!$B$4-C134),IF(AND(B134&gt;=$B$2,C134&gt;0),-MIN(Inputs!$B$3*Inputs!$B$9,C134),0)))</f>
        <v/>
      </c>
      <c r="E134">
        <f>IF($A134="","",C134+D134)</f>
        <v/>
      </c>
      <c r="F134">
        <f>IF($A134="","",IF(D134&gt;0,-D134/Inputs!$B$6,-D134))</f>
        <v/>
      </c>
      <c r="G134">
        <f>IF($A134="","",F134/Inputs!$B$9)</f>
        <v/>
      </c>
      <c r="H134">
        <f>IF($A134="","",B134*F134)</f>
        <v/>
      </c>
      <c r="I134">
        <f>IF($A134="","",I133+H134)</f>
        <v/>
      </c>
    </row>
    <row r="135">
      <c r="A135">
        <f>IF(Inputs!$A142="","",Inputs!$A142)</f>
        <v/>
      </c>
      <c r="B135">
        <f>IF($A135="","",Inputs!$B142)</f>
        <v/>
      </c>
      <c r="C135">
        <f>IF($A135="","",E134)</f>
        <v/>
      </c>
      <c r="D135">
        <f>IF($A135="","",IF(AND(B135&lt;=$B$1,C135&lt;Inputs!$B$4),MIN(Inputs!$B$3*Inputs!$B$9*Inputs!$B$6,Inputs!$B$4-C135),IF(AND(B135&gt;=$B$2,C135&gt;0),-MIN(Inputs!$B$3*Inputs!$B$9,C135),0)))</f>
        <v/>
      </c>
      <c r="E135">
        <f>IF($A135="","",C135+D135)</f>
        <v/>
      </c>
      <c r="F135">
        <f>IF($A135="","",IF(D135&gt;0,-D135/Inputs!$B$6,-D135))</f>
        <v/>
      </c>
      <c r="G135">
        <f>IF($A135="","",F135/Inputs!$B$9)</f>
        <v/>
      </c>
      <c r="H135">
        <f>IF($A135="","",B135*F135)</f>
        <v/>
      </c>
      <c r="I135">
        <f>IF($A135="","",I134+H135)</f>
        <v/>
      </c>
    </row>
    <row r="136">
      <c r="A136">
        <f>IF(Inputs!$A143="","",Inputs!$A143)</f>
        <v/>
      </c>
      <c r="B136">
        <f>IF($A136="","",Inputs!$B143)</f>
        <v/>
      </c>
      <c r="C136">
        <f>IF($A136="","",E135)</f>
        <v/>
      </c>
      <c r="D136">
        <f>IF($A136="","",IF(AND(B136&lt;=$B$1,C136&lt;Inputs!$B$4),MIN(Inputs!$B$3*Inputs!$B$9*Inputs!$B$6,Inputs!$B$4-C136),IF(AND(B136&gt;=$B$2,C136&gt;0),-MIN(Inputs!$B$3*Inputs!$B$9,C136),0)))</f>
        <v/>
      </c>
      <c r="E136">
        <f>IF($A136="","",C136+D136)</f>
        <v/>
      </c>
      <c r="F136">
        <f>IF($A136="","",IF(D136&gt;0,-D136/Inputs!$B$6,-D136))</f>
        <v/>
      </c>
      <c r="G136">
        <f>IF($A136="","",F136/Inputs!$B$9)</f>
        <v/>
      </c>
      <c r="H136">
        <f>IF($A136="","",B136*F136)</f>
        <v/>
      </c>
      <c r="I136">
        <f>IF($A136="","",I135+H136)</f>
        <v/>
      </c>
    </row>
    <row r="137">
      <c r="A137">
        <f>IF(Inputs!$A144="","",Inputs!$A144)</f>
        <v/>
      </c>
      <c r="B137">
        <f>IF($A137="","",Inputs!$B144)</f>
        <v/>
      </c>
      <c r="C137">
        <f>IF($A137="","",E136)</f>
        <v/>
      </c>
      <c r="D137">
        <f>IF($A137="","",IF(AND(B137&lt;=$B$1,C137&lt;Inputs!$B$4),MIN(Inputs!$B$3*Inputs!$B$9*Inputs!$B$6,Inputs!$B$4-C137),IF(AND(B137&gt;=$B$2,C137&gt;0),-MIN(Inputs!$B$3*Inputs!$B$9,C137),0)))</f>
        <v/>
      </c>
      <c r="E137">
        <f>IF($A137="","",C137+D137)</f>
        <v/>
      </c>
      <c r="F137">
        <f>IF($A137="","",IF(D137&gt;0,-D137/Inputs!$B$6,-D137))</f>
        <v/>
      </c>
      <c r="G137">
        <f>IF($A137="","",F137/Inputs!$B$9)</f>
        <v/>
      </c>
      <c r="H137">
        <f>IF($A137="","",B137*F137)</f>
        <v/>
      </c>
      <c r="I137">
        <f>IF($A137="","",I136+H137)</f>
        <v/>
      </c>
    </row>
    <row r="138">
      <c r="A138">
        <f>IF(Inputs!$A145="","",Inputs!$A145)</f>
        <v/>
      </c>
      <c r="B138">
        <f>IF($A138="","",Inputs!$B145)</f>
        <v/>
      </c>
      <c r="C138">
        <f>IF($A138="","",E137)</f>
        <v/>
      </c>
      <c r="D138">
        <f>IF($A138="","",IF(AND(B138&lt;=$B$1,C138&lt;Inputs!$B$4),MIN(Inputs!$B$3*Inputs!$B$9*Inputs!$B$6,Inputs!$B$4-C138),IF(AND(B138&gt;=$B$2,C138&gt;0),-MIN(Inputs!$B$3*Inputs!$B$9,C138),0)))</f>
        <v/>
      </c>
      <c r="E138">
        <f>IF($A138="","",C138+D138)</f>
        <v/>
      </c>
      <c r="F138">
        <f>IF($A138="","",IF(D138&gt;0,-D138/Inputs!$B$6,-D138))</f>
        <v/>
      </c>
      <c r="G138">
        <f>IF($A138="","",F138/Inputs!$B$9)</f>
        <v/>
      </c>
      <c r="H138">
        <f>IF($A138="","",B138*F138)</f>
        <v/>
      </c>
      <c r="I138">
        <f>IF($A138="","",I137+H138)</f>
        <v/>
      </c>
    </row>
    <row r="139">
      <c r="A139">
        <f>IF(Inputs!$A146="","",Inputs!$A146)</f>
        <v/>
      </c>
      <c r="B139">
        <f>IF($A139="","",Inputs!$B146)</f>
        <v/>
      </c>
      <c r="C139">
        <f>IF($A139="","",E138)</f>
        <v/>
      </c>
      <c r="D139">
        <f>IF($A139="","",IF(AND(B139&lt;=$B$1,C139&lt;Inputs!$B$4),MIN(Inputs!$B$3*Inputs!$B$9*Inputs!$B$6,Inputs!$B$4-C139),IF(AND(B139&gt;=$B$2,C139&gt;0),-MIN(Inputs!$B$3*Inputs!$B$9,C139),0)))</f>
        <v/>
      </c>
      <c r="E139">
        <f>IF($A139="","",C139+D139)</f>
        <v/>
      </c>
      <c r="F139">
        <f>IF($A139="","",IF(D139&gt;0,-D139/Inputs!$B$6,-D139))</f>
        <v/>
      </c>
      <c r="G139">
        <f>IF($A139="","",F139/Inputs!$B$9)</f>
        <v/>
      </c>
      <c r="H139">
        <f>IF($A139="","",B139*F139)</f>
        <v/>
      </c>
      <c r="I139">
        <f>IF($A139="","",I138+H139)</f>
        <v/>
      </c>
    </row>
    <row r="140">
      <c r="A140">
        <f>IF(Inputs!$A147="","",Inputs!$A147)</f>
        <v/>
      </c>
      <c r="B140">
        <f>IF($A140="","",Inputs!$B147)</f>
        <v/>
      </c>
      <c r="C140">
        <f>IF($A140="","",E139)</f>
        <v/>
      </c>
      <c r="D140">
        <f>IF($A140="","",IF(AND(B140&lt;=$B$1,C140&lt;Inputs!$B$4),MIN(Inputs!$B$3*Inputs!$B$9*Inputs!$B$6,Inputs!$B$4-C140),IF(AND(B140&gt;=$B$2,C140&gt;0),-MIN(Inputs!$B$3*Inputs!$B$9,C140),0)))</f>
        <v/>
      </c>
      <c r="E140">
        <f>IF($A140="","",C140+D140)</f>
        <v/>
      </c>
      <c r="F140">
        <f>IF($A140="","",IF(D140&gt;0,-D140/Inputs!$B$6,-D140))</f>
        <v/>
      </c>
      <c r="G140">
        <f>IF($A140="","",F140/Inputs!$B$9)</f>
        <v/>
      </c>
      <c r="H140">
        <f>IF($A140="","",B140*F140)</f>
        <v/>
      </c>
      <c r="I140">
        <f>IF($A140="","",I139+H140)</f>
        <v/>
      </c>
    </row>
    <row r="141">
      <c r="A141">
        <f>IF(Inputs!$A148="","",Inputs!$A148)</f>
        <v/>
      </c>
      <c r="B141">
        <f>IF($A141="","",Inputs!$B148)</f>
        <v/>
      </c>
      <c r="C141">
        <f>IF($A141="","",E140)</f>
        <v/>
      </c>
      <c r="D141">
        <f>IF($A141="","",IF(AND(B141&lt;=$B$1,C141&lt;Inputs!$B$4),MIN(Inputs!$B$3*Inputs!$B$9*Inputs!$B$6,Inputs!$B$4-C141),IF(AND(B141&gt;=$B$2,C141&gt;0),-MIN(Inputs!$B$3*Inputs!$B$9,C141),0)))</f>
        <v/>
      </c>
      <c r="E141">
        <f>IF($A141="","",C141+D141)</f>
        <v/>
      </c>
      <c r="F141">
        <f>IF($A141="","",IF(D141&gt;0,-D141/Inputs!$B$6,-D141))</f>
        <v/>
      </c>
      <c r="G141">
        <f>IF($A141="","",F141/Inputs!$B$9)</f>
        <v/>
      </c>
      <c r="H141">
        <f>IF($A141="","",B141*F141)</f>
        <v/>
      </c>
      <c r="I141">
        <f>IF($A141="","",I140+H141)</f>
        <v/>
      </c>
    </row>
    <row r="142">
      <c r="A142">
        <f>IF(Inputs!$A149="","",Inputs!$A149)</f>
        <v/>
      </c>
      <c r="B142">
        <f>IF($A142="","",Inputs!$B149)</f>
        <v/>
      </c>
      <c r="C142">
        <f>IF($A142="","",E141)</f>
        <v/>
      </c>
      <c r="D142">
        <f>IF($A142="","",IF(AND(B142&lt;=$B$1,C142&lt;Inputs!$B$4),MIN(Inputs!$B$3*Inputs!$B$9*Inputs!$B$6,Inputs!$B$4-C142),IF(AND(B142&gt;=$B$2,C142&gt;0),-MIN(Inputs!$B$3*Inputs!$B$9,C142),0)))</f>
        <v/>
      </c>
      <c r="E142">
        <f>IF($A142="","",C142+D142)</f>
        <v/>
      </c>
      <c r="F142">
        <f>IF($A142="","",IF(D142&gt;0,-D142/Inputs!$B$6,-D142))</f>
        <v/>
      </c>
      <c r="G142">
        <f>IF($A142="","",F142/Inputs!$B$9)</f>
        <v/>
      </c>
      <c r="H142">
        <f>IF($A142="","",B142*F142)</f>
        <v/>
      </c>
      <c r="I142">
        <f>IF($A142="","",I141+H142)</f>
        <v/>
      </c>
    </row>
    <row r="143">
      <c r="A143">
        <f>IF(Inputs!$A150="","",Inputs!$A150)</f>
        <v/>
      </c>
      <c r="B143">
        <f>IF($A143="","",Inputs!$B150)</f>
        <v/>
      </c>
      <c r="C143">
        <f>IF($A143="","",E142)</f>
        <v/>
      </c>
      <c r="D143">
        <f>IF($A143="","",IF(AND(B143&lt;=$B$1,C143&lt;Inputs!$B$4),MIN(Inputs!$B$3*Inputs!$B$9*Inputs!$B$6,Inputs!$B$4-C143),IF(AND(B143&gt;=$B$2,C143&gt;0),-MIN(Inputs!$B$3*Inputs!$B$9,C143),0)))</f>
        <v/>
      </c>
      <c r="E143">
        <f>IF($A143="","",C143+D143)</f>
        <v/>
      </c>
      <c r="F143">
        <f>IF($A143="","",IF(D143&gt;0,-D143/Inputs!$B$6,-D143))</f>
        <v/>
      </c>
      <c r="G143">
        <f>IF($A143="","",F143/Inputs!$B$9)</f>
        <v/>
      </c>
      <c r="H143">
        <f>IF($A143="","",B143*F143)</f>
        <v/>
      </c>
      <c r="I143">
        <f>IF($A143="","",I142+H143)</f>
        <v/>
      </c>
    </row>
    <row r="144">
      <c r="A144">
        <f>IF(Inputs!$A151="","",Inputs!$A151)</f>
        <v/>
      </c>
      <c r="B144">
        <f>IF($A144="","",Inputs!$B151)</f>
        <v/>
      </c>
      <c r="C144">
        <f>IF($A144="","",E143)</f>
        <v/>
      </c>
      <c r="D144">
        <f>IF($A144="","",IF(AND(B144&lt;=$B$1,C144&lt;Inputs!$B$4),MIN(Inputs!$B$3*Inputs!$B$9*Inputs!$B$6,Inputs!$B$4-C144),IF(AND(B144&gt;=$B$2,C144&gt;0),-MIN(Inputs!$B$3*Inputs!$B$9,C144),0)))</f>
        <v/>
      </c>
      <c r="E144">
        <f>IF($A144="","",C144+D144)</f>
        <v/>
      </c>
      <c r="F144">
        <f>IF($A144="","",IF(D144&gt;0,-D144/Inputs!$B$6,-D144))</f>
        <v/>
      </c>
      <c r="G144">
        <f>IF($A144="","",F144/Inputs!$B$9)</f>
        <v/>
      </c>
      <c r="H144">
        <f>IF($A144="","",B144*F144)</f>
        <v/>
      </c>
      <c r="I144">
        <f>IF($A144="","",I143+H144)</f>
        <v/>
      </c>
    </row>
    <row r="145">
      <c r="A145">
        <f>IF(Inputs!$A152="","",Inputs!$A152)</f>
        <v/>
      </c>
      <c r="B145">
        <f>IF($A145="","",Inputs!$B152)</f>
        <v/>
      </c>
      <c r="C145">
        <f>IF($A145="","",E144)</f>
        <v/>
      </c>
      <c r="D145">
        <f>IF($A145="","",IF(AND(B145&lt;=$B$1,C145&lt;Inputs!$B$4),MIN(Inputs!$B$3*Inputs!$B$9*Inputs!$B$6,Inputs!$B$4-C145),IF(AND(B145&gt;=$B$2,C145&gt;0),-MIN(Inputs!$B$3*Inputs!$B$9,C145),0)))</f>
        <v/>
      </c>
      <c r="E145">
        <f>IF($A145="","",C145+D145)</f>
        <v/>
      </c>
      <c r="F145">
        <f>IF($A145="","",IF(D145&gt;0,-D145/Inputs!$B$6,-D145))</f>
        <v/>
      </c>
      <c r="G145">
        <f>IF($A145="","",F145/Inputs!$B$9)</f>
        <v/>
      </c>
      <c r="H145">
        <f>IF($A145="","",B145*F145)</f>
        <v/>
      </c>
      <c r="I145">
        <f>IF($A145="","",I144+H145)</f>
        <v/>
      </c>
    </row>
    <row r="146">
      <c r="A146">
        <f>IF(Inputs!$A153="","",Inputs!$A153)</f>
        <v/>
      </c>
      <c r="B146">
        <f>IF($A146="","",Inputs!$B153)</f>
        <v/>
      </c>
      <c r="C146">
        <f>IF($A146="","",E145)</f>
        <v/>
      </c>
      <c r="D146">
        <f>IF($A146="","",IF(AND(B146&lt;=$B$1,C146&lt;Inputs!$B$4),MIN(Inputs!$B$3*Inputs!$B$9*Inputs!$B$6,Inputs!$B$4-C146),IF(AND(B146&gt;=$B$2,C146&gt;0),-MIN(Inputs!$B$3*Inputs!$B$9,C146),0)))</f>
        <v/>
      </c>
      <c r="E146">
        <f>IF($A146="","",C146+D146)</f>
        <v/>
      </c>
      <c r="F146">
        <f>IF($A146="","",IF(D146&gt;0,-D146/Inputs!$B$6,-D146))</f>
        <v/>
      </c>
      <c r="G146">
        <f>IF($A146="","",F146/Inputs!$B$9)</f>
        <v/>
      </c>
      <c r="H146">
        <f>IF($A146="","",B146*F146)</f>
        <v/>
      </c>
      <c r="I146">
        <f>IF($A146="","",I145+H146)</f>
        <v/>
      </c>
    </row>
    <row r="147">
      <c r="A147">
        <f>IF(Inputs!$A154="","",Inputs!$A154)</f>
        <v/>
      </c>
      <c r="B147">
        <f>IF($A147="","",Inputs!$B154)</f>
        <v/>
      </c>
      <c r="C147">
        <f>IF($A147="","",E146)</f>
        <v/>
      </c>
      <c r="D147">
        <f>IF($A147="","",IF(AND(B147&lt;=$B$1,C147&lt;Inputs!$B$4),MIN(Inputs!$B$3*Inputs!$B$9*Inputs!$B$6,Inputs!$B$4-C147),IF(AND(B147&gt;=$B$2,C147&gt;0),-MIN(Inputs!$B$3*Inputs!$B$9,C147),0)))</f>
        <v/>
      </c>
      <c r="E147">
        <f>IF($A147="","",C147+D147)</f>
        <v/>
      </c>
      <c r="F147">
        <f>IF($A147="","",IF(D147&gt;0,-D147/Inputs!$B$6,-D147))</f>
        <v/>
      </c>
      <c r="G147">
        <f>IF($A147="","",F147/Inputs!$B$9)</f>
        <v/>
      </c>
      <c r="H147">
        <f>IF($A147="","",B147*F147)</f>
        <v/>
      </c>
      <c r="I147">
        <f>IF($A147="","",I146+H147)</f>
        <v/>
      </c>
    </row>
    <row r="148">
      <c r="A148">
        <f>IF(Inputs!$A155="","",Inputs!$A155)</f>
        <v/>
      </c>
      <c r="B148">
        <f>IF($A148="","",Inputs!$B155)</f>
        <v/>
      </c>
      <c r="C148">
        <f>IF($A148="","",E147)</f>
        <v/>
      </c>
      <c r="D148">
        <f>IF($A148="","",IF(AND(B148&lt;=$B$1,C148&lt;Inputs!$B$4),MIN(Inputs!$B$3*Inputs!$B$9*Inputs!$B$6,Inputs!$B$4-C148),IF(AND(B148&gt;=$B$2,C148&gt;0),-MIN(Inputs!$B$3*Inputs!$B$9,C148),0)))</f>
        <v/>
      </c>
      <c r="E148">
        <f>IF($A148="","",C148+D148)</f>
        <v/>
      </c>
      <c r="F148">
        <f>IF($A148="","",IF(D148&gt;0,-D148/Inputs!$B$6,-D148))</f>
        <v/>
      </c>
      <c r="G148">
        <f>IF($A148="","",F148/Inputs!$B$9)</f>
        <v/>
      </c>
      <c r="H148">
        <f>IF($A148="","",B148*F148)</f>
        <v/>
      </c>
      <c r="I148">
        <f>IF($A148="","",I147+H148)</f>
        <v/>
      </c>
    </row>
    <row r="149">
      <c r="A149">
        <f>IF(Inputs!$A156="","",Inputs!$A156)</f>
        <v/>
      </c>
      <c r="B149">
        <f>IF($A149="","",Inputs!$B156)</f>
        <v/>
      </c>
      <c r="C149">
        <f>IF($A149="","",E148)</f>
        <v/>
      </c>
      <c r="D149">
        <f>IF($A149="","",IF(AND(B149&lt;=$B$1,C149&lt;Inputs!$B$4),MIN(Inputs!$B$3*Inputs!$B$9*Inputs!$B$6,Inputs!$B$4-C149),IF(AND(B149&gt;=$B$2,C149&gt;0),-MIN(Inputs!$B$3*Inputs!$B$9,C149),0)))</f>
        <v/>
      </c>
      <c r="E149">
        <f>IF($A149="","",C149+D149)</f>
        <v/>
      </c>
      <c r="F149">
        <f>IF($A149="","",IF(D149&gt;0,-D149/Inputs!$B$6,-D149))</f>
        <v/>
      </c>
      <c r="G149">
        <f>IF($A149="","",F149/Inputs!$B$9)</f>
        <v/>
      </c>
      <c r="H149">
        <f>IF($A149="","",B149*F149)</f>
        <v/>
      </c>
      <c r="I149">
        <f>IF($A149="","",I148+H149)</f>
        <v/>
      </c>
    </row>
    <row r="150">
      <c r="A150">
        <f>IF(Inputs!$A157="","",Inputs!$A157)</f>
        <v/>
      </c>
      <c r="B150">
        <f>IF($A150="","",Inputs!$B157)</f>
        <v/>
      </c>
      <c r="C150">
        <f>IF($A150="","",E149)</f>
        <v/>
      </c>
      <c r="D150">
        <f>IF($A150="","",IF(AND(B150&lt;=$B$1,C150&lt;Inputs!$B$4),MIN(Inputs!$B$3*Inputs!$B$9*Inputs!$B$6,Inputs!$B$4-C150),IF(AND(B150&gt;=$B$2,C150&gt;0),-MIN(Inputs!$B$3*Inputs!$B$9,C150),0)))</f>
        <v/>
      </c>
      <c r="E150">
        <f>IF($A150="","",C150+D150)</f>
        <v/>
      </c>
      <c r="F150">
        <f>IF($A150="","",IF(D150&gt;0,-D150/Inputs!$B$6,-D150))</f>
        <v/>
      </c>
      <c r="G150">
        <f>IF($A150="","",F150/Inputs!$B$9)</f>
        <v/>
      </c>
      <c r="H150">
        <f>IF($A150="","",B150*F150)</f>
        <v/>
      </c>
      <c r="I150">
        <f>IF($A150="","",I149+H150)</f>
        <v/>
      </c>
    </row>
    <row r="151">
      <c r="A151">
        <f>IF(Inputs!$A158="","",Inputs!$A158)</f>
        <v/>
      </c>
      <c r="B151">
        <f>IF($A151="","",Inputs!$B158)</f>
        <v/>
      </c>
      <c r="C151">
        <f>IF($A151="","",E150)</f>
        <v/>
      </c>
      <c r="D151">
        <f>IF($A151="","",IF(AND(B151&lt;=$B$1,C151&lt;Inputs!$B$4),MIN(Inputs!$B$3*Inputs!$B$9*Inputs!$B$6,Inputs!$B$4-C151),IF(AND(B151&gt;=$B$2,C151&gt;0),-MIN(Inputs!$B$3*Inputs!$B$9,C151),0)))</f>
        <v/>
      </c>
      <c r="E151">
        <f>IF($A151="","",C151+D151)</f>
        <v/>
      </c>
      <c r="F151">
        <f>IF($A151="","",IF(D151&gt;0,-D151/Inputs!$B$6,-D151))</f>
        <v/>
      </c>
      <c r="G151">
        <f>IF($A151="","",F151/Inputs!$B$9)</f>
        <v/>
      </c>
      <c r="H151">
        <f>IF($A151="","",B151*F151)</f>
        <v/>
      </c>
      <c r="I151">
        <f>IF($A151="","",I150+H151)</f>
        <v/>
      </c>
    </row>
    <row r="152">
      <c r="A152">
        <f>IF(Inputs!$A159="","",Inputs!$A159)</f>
        <v/>
      </c>
      <c r="B152">
        <f>IF($A152="","",Inputs!$B159)</f>
        <v/>
      </c>
      <c r="C152">
        <f>IF($A152="","",E151)</f>
        <v/>
      </c>
      <c r="D152">
        <f>IF($A152="","",IF(AND(B152&lt;=$B$1,C152&lt;Inputs!$B$4),MIN(Inputs!$B$3*Inputs!$B$9*Inputs!$B$6,Inputs!$B$4-C152),IF(AND(B152&gt;=$B$2,C152&gt;0),-MIN(Inputs!$B$3*Inputs!$B$9,C152),0)))</f>
        <v/>
      </c>
      <c r="E152">
        <f>IF($A152="","",C152+D152)</f>
        <v/>
      </c>
      <c r="F152">
        <f>IF($A152="","",IF(D152&gt;0,-D152/Inputs!$B$6,-D152))</f>
        <v/>
      </c>
      <c r="G152">
        <f>IF($A152="","",F152/Inputs!$B$9)</f>
        <v/>
      </c>
      <c r="H152">
        <f>IF($A152="","",B152*F152)</f>
        <v/>
      </c>
      <c r="I152">
        <f>IF($A152="","",I151+H152)</f>
        <v/>
      </c>
    </row>
    <row r="153">
      <c r="A153">
        <f>IF(Inputs!$A160="","",Inputs!$A160)</f>
        <v/>
      </c>
      <c r="B153">
        <f>IF($A153="","",Inputs!$B160)</f>
        <v/>
      </c>
      <c r="C153">
        <f>IF($A153="","",E152)</f>
        <v/>
      </c>
      <c r="D153">
        <f>IF($A153="","",IF(AND(B153&lt;=$B$1,C153&lt;Inputs!$B$4),MIN(Inputs!$B$3*Inputs!$B$9*Inputs!$B$6,Inputs!$B$4-C153),IF(AND(B153&gt;=$B$2,C153&gt;0),-MIN(Inputs!$B$3*Inputs!$B$9,C153),0)))</f>
        <v/>
      </c>
      <c r="E153">
        <f>IF($A153="","",C153+D153)</f>
        <v/>
      </c>
      <c r="F153">
        <f>IF($A153="","",IF(D153&gt;0,-D153/Inputs!$B$6,-D153))</f>
        <v/>
      </c>
      <c r="G153">
        <f>IF($A153="","",F153/Inputs!$B$9)</f>
        <v/>
      </c>
      <c r="H153">
        <f>IF($A153="","",B153*F153)</f>
        <v/>
      </c>
      <c r="I153">
        <f>IF($A153="","",I152+H153)</f>
        <v/>
      </c>
    </row>
    <row r="154">
      <c r="A154">
        <f>IF(Inputs!$A161="","",Inputs!$A161)</f>
        <v/>
      </c>
      <c r="B154">
        <f>IF($A154="","",Inputs!$B161)</f>
        <v/>
      </c>
      <c r="C154">
        <f>IF($A154="","",E153)</f>
        <v/>
      </c>
      <c r="D154">
        <f>IF($A154="","",IF(AND(B154&lt;=$B$1,C154&lt;Inputs!$B$4),MIN(Inputs!$B$3*Inputs!$B$9*Inputs!$B$6,Inputs!$B$4-C154),IF(AND(B154&gt;=$B$2,C154&gt;0),-MIN(Inputs!$B$3*Inputs!$B$9,C154),0)))</f>
        <v/>
      </c>
      <c r="E154">
        <f>IF($A154="","",C154+D154)</f>
        <v/>
      </c>
      <c r="F154">
        <f>IF($A154="","",IF(D154&gt;0,-D154/Inputs!$B$6,-D154))</f>
        <v/>
      </c>
      <c r="G154">
        <f>IF($A154="","",F154/Inputs!$B$9)</f>
        <v/>
      </c>
      <c r="H154">
        <f>IF($A154="","",B154*F154)</f>
        <v/>
      </c>
      <c r="I154">
        <f>IF($A154="","",I153+H154)</f>
        <v/>
      </c>
    </row>
    <row r="155">
      <c r="A155">
        <f>IF(Inputs!$A162="","",Inputs!$A162)</f>
        <v/>
      </c>
      <c r="B155">
        <f>IF($A155="","",Inputs!$B162)</f>
        <v/>
      </c>
      <c r="C155">
        <f>IF($A155="","",E154)</f>
        <v/>
      </c>
      <c r="D155">
        <f>IF($A155="","",IF(AND(B155&lt;=$B$1,C155&lt;Inputs!$B$4),MIN(Inputs!$B$3*Inputs!$B$9*Inputs!$B$6,Inputs!$B$4-C155),IF(AND(B155&gt;=$B$2,C155&gt;0),-MIN(Inputs!$B$3*Inputs!$B$9,C155),0)))</f>
        <v/>
      </c>
      <c r="E155">
        <f>IF($A155="","",C155+D155)</f>
        <v/>
      </c>
      <c r="F155">
        <f>IF($A155="","",IF(D155&gt;0,-D155/Inputs!$B$6,-D155))</f>
        <v/>
      </c>
      <c r="G155">
        <f>IF($A155="","",F155/Inputs!$B$9)</f>
        <v/>
      </c>
      <c r="H155">
        <f>IF($A155="","",B155*F155)</f>
        <v/>
      </c>
      <c r="I155">
        <f>IF($A155="","",I154+H155)</f>
        <v/>
      </c>
    </row>
    <row r="156">
      <c r="A156">
        <f>IF(Inputs!$A163="","",Inputs!$A163)</f>
        <v/>
      </c>
      <c r="B156">
        <f>IF($A156="","",Inputs!$B163)</f>
        <v/>
      </c>
      <c r="C156">
        <f>IF($A156="","",E155)</f>
        <v/>
      </c>
      <c r="D156">
        <f>IF($A156="","",IF(AND(B156&lt;=$B$1,C156&lt;Inputs!$B$4),MIN(Inputs!$B$3*Inputs!$B$9*Inputs!$B$6,Inputs!$B$4-C156),IF(AND(B156&gt;=$B$2,C156&gt;0),-MIN(Inputs!$B$3*Inputs!$B$9,C156),0)))</f>
        <v/>
      </c>
      <c r="E156">
        <f>IF($A156="","",C156+D156)</f>
        <v/>
      </c>
      <c r="F156">
        <f>IF($A156="","",IF(D156&gt;0,-D156/Inputs!$B$6,-D156))</f>
        <v/>
      </c>
      <c r="G156">
        <f>IF($A156="","",F156/Inputs!$B$9)</f>
        <v/>
      </c>
      <c r="H156">
        <f>IF($A156="","",B156*F156)</f>
        <v/>
      </c>
      <c r="I156">
        <f>IF($A156="","",I155+H156)</f>
        <v/>
      </c>
    </row>
    <row r="157">
      <c r="A157">
        <f>IF(Inputs!$A164="","",Inputs!$A164)</f>
        <v/>
      </c>
      <c r="B157">
        <f>IF($A157="","",Inputs!$B164)</f>
        <v/>
      </c>
      <c r="C157">
        <f>IF($A157="","",E156)</f>
        <v/>
      </c>
      <c r="D157">
        <f>IF($A157="","",IF(AND(B157&lt;=$B$1,C157&lt;Inputs!$B$4),MIN(Inputs!$B$3*Inputs!$B$9*Inputs!$B$6,Inputs!$B$4-C157),IF(AND(B157&gt;=$B$2,C157&gt;0),-MIN(Inputs!$B$3*Inputs!$B$9,C157),0)))</f>
        <v/>
      </c>
      <c r="E157">
        <f>IF($A157="","",C157+D157)</f>
        <v/>
      </c>
      <c r="F157">
        <f>IF($A157="","",IF(D157&gt;0,-D157/Inputs!$B$6,-D157))</f>
        <v/>
      </c>
      <c r="G157">
        <f>IF($A157="","",F157/Inputs!$B$9)</f>
        <v/>
      </c>
      <c r="H157">
        <f>IF($A157="","",B157*F157)</f>
        <v/>
      </c>
      <c r="I157">
        <f>IF($A157="","",I156+H157)</f>
        <v/>
      </c>
    </row>
    <row r="158">
      <c r="A158">
        <f>IF(Inputs!$A165="","",Inputs!$A165)</f>
        <v/>
      </c>
      <c r="B158">
        <f>IF($A158="","",Inputs!$B165)</f>
        <v/>
      </c>
      <c r="C158">
        <f>IF($A158="","",E157)</f>
        <v/>
      </c>
      <c r="D158">
        <f>IF($A158="","",IF(AND(B158&lt;=$B$1,C158&lt;Inputs!$B$4),MIN(Inputs!$B$3*Inputs!$B$9*Inputs!$B$6,Inputs!$B$4-C158),IF(AND(B158&gt;=$B$2,C158&gt;0),-MIN(Inputs!$B$3*Inputs!$B$9,C158),0)))</f>
        <v/>
      </c>
      <c r="E158">
        <f>IF($A158="","",C158+D158)</f>
        <v/>
      </c>
      <c r="F158">
        <f>IF($A158="","",IF(D158&gt;0,-D158/Inputs!$B$6,-D158))</f>
        <v/>
      </c>
      <c r="G158">
        <f>IF($A158="","",F158/Inputs!$B$9)</f>
        <v/>
      </c>
      <c r="H158">
        <f>IF($A158="","",B158*F158)</f>
        <v/>
      </c>
      <c r="I158">
        <f>IF($A158="","",I157+H158)</f>
        <v/>
      </c>
    </row>
    <row r="159">
      <c r="A159">
        <f>IF(Inputs!$A166="","",Inputs!$A166)</f>
        <v/>
      </c>
      <c r="B159">
        <f>IF($A159="","",Inputs!$B166)</f>
        <v/>
      </c>
      <c r="C159">
        <f>IF($A159="","",E158)</f>
        <v/>
      </c>
      <c r="D159">
        <f>IF($A159="","",IF(AND(B159&lt;=$B$1,C159&lt;Inputs!$B$4),MIN(Inputs!$B$3*Inputs!$B$9*Inputs!$B$6,Inputs!$B$4-C159),IF(AND(B159&gt;=$B$2,C159&gt;0),-MIN(Inputs!$B$3*Inputs!$B$9,C159),0)))</f>
        <v/>
      </c>
      <c r="E159">
        <f>IF($A159="","",C159+D159)</f>
        <v/>
      </c>
      <c r="F159">
        <f>IF($A159="","",IF(D159&gt;0,-D159/Inputs!$B$6,-D159))</f>
        <v/>
      </c>
      <c r="G159">
        <f>IF($A159="","",F159/Inputs!$B$9)</f>
        <v/>
      </c>
      <c r="H159">
        <f>IF($A159="","",B159*F159)</f>
        <v/>
      </c>
      <c r="I159">
        <f>IF($A159="","",I158+H159)</f>
        <v/>
      </c>
    </row>
    <row r="160">
      <c r="A160">
        <f>IF(Inputs!$A167="","",Inputs!$A167)</f>
        <v/>
      </c>
      <c r="B160">
        <f>IF($A160="","",Inputs!$B167)</f>
        <v/>
      </c>
      <c r="C160">
        <f>IF($A160="","",E159)</f>
        <v/>
      </c>
      <c r="D160">
        <f>IF($A160="","",IF(AND(B160&lt;=$B$1,C160&lt;Inputs!$B$4),MIN(Inputs!$B$3*Inputs!$B$9*Inputs!$B$6,Inputs!$B$4-C160),IF(AND(B160&gt;=$B$2,C160&gt;0),-MIN(Inputs!$B$3*Inputs!$B$9,C160),0)))</f>
        <v/>
      </c>
      <c r="E160">
        <f>IF($A160="","",C160+D160)</f>
        <v/>
      </c>
      <c r="F160">
        <f>IF($A160="","",IF(D160&gt;0,-D160/Inputs!$B$6,-D160))</f>
        <v/>
      </c>
      <c r="G160">
        <f>IF($A160="","",F160/Inputs!$B$9)</f>
        <v/>
      </c>
      <c r="H160">
        <f>IF($A160="","",B160*F160)</f>
        <v/>
      </c>
      <c r="I160">
        <f>IF($A160="","",I159+H160)</f>
        <v/>
      </c>
    </row>
    <row r="161">
      <c r="A161">
        <f>IF(Inputs!$A168="","",Inputs!$A168)</f>
        <v/>
      </c>
      <c r="B161">
        <f>IF($A161="","",Inputs!$B168)</f>
        <v/>
      </c>
      <c r="C161">
        <f>IF($A161="","",E160)</f>
        <v/>
      </c>
      <c r="D161">
        <f>IF($A161="","",IF(AND(B161&lt;=$B$1,C161&lt;Inputs!$B$4),MIN(Inputs!$B$3*Inputs!$B$9*Inputs!$B$6,Inputs!$B$4-C161),IF(AND(B161&gt;=$B$2,C161&gt;0),-MIN(Inputs!$B$3*Inputs!$B$9,C161),0)))</f>
        <v/>
      </c>
      <c r="E161">
        <f>IF($A161="","",C161+D161)</f>
        <v/>
      </c>
      <c r="F161">
        <f>IF($A161="","",IF(D161&gt;0,-D161/Inputs!$B$6,-D161))</f>
        <v/>
      </c>
      <c r="G161">
        <f>IF($A161="","",F161/Inputs!$B$9)</f>
        <v/>
      </c>
      <c r="H161">
        <f>IF($A161="","",B161*F161)</f>
        <v/>
      </c>
      <c r="I161">
        <f>IF($A161="","",I160+H161)</f>
        <v/>
      </c>
    </row>
    <row r="162">
      <c r="A162">
        <f>IF(Inputs!$A169="","",Inputs!$A169)</f>
        <v/>
      </c>
      <c r="B162">
        <f>IF($A162="","",Inputs!$B169)</f>
        <v/>
      </c>
      <c r="C162">
        <f>IF($A162="","",E161)</f>
        <v/>
      </c>
      <c r="D162">
        <f>IF($A162="","",IF(AND(B162&lt;=$B$1,C162&lt;Inputs!$B$4),MIN(Inputs!$B$3*Inputs!$B$9*Inputs!$B$6,Inputs!$B$4-C162),IF(AND(B162&gt;=$B$2,C162&gt;0),-MIN(Inputs!$B$3*Inputs!$B$9,C162),0)))</f>
        <v/>
      </c>
      <c r="E162">
        <f>IF($A162="","",C162+D162)</f>
        <v/>
      </c>
      <c r="F162">
        <f>IF($A162="","",IF(D162&gt;0,-D162/Inputs!$B$6,-D162))</f>
        <v/>
      </c>
      <c r="G162">
        <f>IF($A162="","",F162/Inputs!$B$9)</f>
        <v/>
      </c>
      <c r="H162">
        <f>IF($A162="","",B162*F162)</f>
        <v/>
      </c>
      <c r="I162">
        <f>IF($A162="","",I161+H162)</f>
        <v/>
      </c>
    </row>
    <row r="163">
      <c r="A163">
        <f>IF(Inputs!$A170="","",Inputs!$A170)</f>
        <v/>
      </c>
      <c r="B163">
        <f>IF($A163="","",Inputs!$B170)</f>
        <v/>
      </c>
      <c r="C163">
        <f>IF($A163="","",E162)</f>
        <v/>
      </c>
      <c r="D163">
        <f>IF($A163="","",IF(AND(B163&lt;=$B$1,C163&lt;Inputs!$B$4),MIN(Inputs!$B$3*Inputs!$B$9*Inputs!$B$6,Inputs!$B$4-C163),IF(AND(B163&gt;=$B$2,C163&gt;0),-MIN(Inputs!$B$3*Inputs!$B$9,C163),0)))</f>
        <v/>
      </c>
      <c r="E163">
        <f>IF($A163="","",C163+D163)</f>
        <v/>
      </c>
      <c r="F163">
        <f>IF($A163="","",IF(D163&gt;0,-D163/Inputs!$B$6,-D163))</f>
        <v/>
      </c>
      <c r="G163">
        <f>IF($A163="","",F163/Inputs!$B$9)</f>
        <v/>
      </c>
      <c r="H163">
        <f>IF($A163="","",B163*F163)</f>
        <v/>
      </c>
      <c r="I163">
        <f>IF($A163="","",I162+H163)</f>
        <v/>
      </c>
    </row>
    <row r="164">
      <c r="A164">
        <f>IF(Inputs!$A171="","",Inputs!$A171)</f>
        <v/>
      </c>
      <c r="B164">
        <f>IF($A164="","",Inputs!$B171)</f>
        <v/>
      </c>
      <c r="C164">
        <f>IF($A164="","",E163)</f>
        <v/>
      </c>
      <c r="D164">
        <f>IF($A164="","",IF(AND(B164&lt;=$B$1,C164&lt;Inputs!$B$4),MIN(Inputs!$B$3*Inputs!$B$9*Inputs!$B$6,Inputs!$B$4-C164),IF(AND(B164&gt;=$B$2,C164&gt;0),-MIN(Inputs!$B$3*Inputs!$B$9,C164),0)))</f>
        <v/>
      </c>
      <c r="E164">
        <f>IF($A164="","",C164+D164)</f>
        <v/>
      </c>
      <c r="F164">
        <f>IF($A164="","",IF(D164&gt;0,-D164/Inputs!$B$6,-D164))</f>
        <v/>
      </c>
      <c r="G164">
        <f>IF($A164="","",F164/Inputs!$B$9)</f>
        <v/>
      </c>
      <c r="H164">
        <f>IF($A164="","",B164*F164)</f>
        <v/>
      </c>
      <c r="I164">
        <f>IF($A164="","",I163+H164)</f>
        <v/>
      </c>
    </row>
    <row r="165">
      <c r="A165">
        <f>IF(Inputs!$A172="","",Inputs!$A172)</f>
        <v/>
      </c>
      <c r="B165">
        <f>IF($A165="","",Inputs!$B172)</f>
        <v/>
      </c>
      <c r="C165">
        <f>IF($A165="","",E164)</f>
        <v/>
      </c>
      <c r="D165">
        <f>IF($A165="","",IF(AND(B165&lt;=$B$1,C165&lt;Inputs!$B$4),MIN(Inputs!$B$3*Inputs!$B$9*Inputs!$B$6,Inputs!$B$4-C165),IF(AND(B165&gt;=$B$2,C165&gt;0),-MIN(Inputs!$B$3*Inputs!$B$9,C165),0)))</f>
        <v/>
      </c>
      <c r="E165">
        <f>IF($A165="","",C165+D165)</f>
        <v/>
      </c>
      <c r="F165">
        <f>IF($A165="","",IF(D165&gt;0,-D165/Inputs!$B$6,-D165))</f>
        <v/>
      </c>
      <c r="G165">
        <f>IF($A165="","",F165/Inputs!$B$9)</f>
        <v/>
      </c>
      <c r="H165">
        <f>IF($A165="","",B165*F165)</f>
        <v/>
      </c>
      <c r="I165">
        <f>IF($A165="","",I164+H165)</f>
        <v/>
      </c>
    </row>
    <row r="166">
      <c r="A166">
        <f>IF(Inputs!$A173="","",Inputs!$A173)</f>
        <v/>
      </c>
      <c r="B166">
        <f>IF($A166="","",Inputs!$B173)</f>
        <v/>
      </c>
      <c r="C166">
        <f>IF($A166="","",E165)</f>
        <v/>
      </c>
      <c r="D166">
        <f>IF($A166="","",IF(AND(B166&lt;=$B$1,C166&lt;Inputs!$B$4),MIN(Inputs!$B$3*Inputs!$B$9*Inputs!$B$6,Inputs!$B$4-C166),IF(AND(B166&gt;=$B$2,C166&gt;0),-MIN(Inputs!$B$3*Inputs!$B$9,C166),0)))</f>
        <v/>
      </c>
      <c r="E166">
        <f>IF($A166="","",C166+D166)</f>
        <v/>
      </c>
      <c r="F166">
        <f>IF($A166="","",IF(D166&gt;0,-D166/Inputs!$B$6,-D166))</f>
        <v/>
      </c>
      <c r="G166">
        <f>IF($A166="","",F166/Inputs!$B$9)</f>
        <v/>
      </c>
      <c r="H166">
        <f>IF($A166="","",B166*F166)</f>
        <v/>
      </c>
      <c r="I166">
        <f>IF($A166="","",I165+H166)</f>
        <v/>
      </c>
    </row>
    <row r="167">
      <c r="A167">
        <f>IF(Inputs!$A174="","",Inputs!$A174)</f>
        <v/>
      </c>
      <c r="B167">
        <f>IF($A167="","",Inputs!$B174)</f>
        <v/>
      </c>
      <c r="C167">
        <f>IF($A167="","",E166)</f>
        <v/>
      </c>
      <c r="D167">
        <f>IF($A167="","",IF(AND(B167&lt;=$B$1,C167&lt;Inputs!$B$4),MIN(Inputs!$B$3*Inputs!$B$9*Inputs!$B$6,Inputs!$B$4-C167),IF(AND(B167&gt;=$B$2,C167&gt;0),-MIN(Inputs!$B$3*Inputs!$B$9,C167),0)))</f>
        <v/>
      </c>
      <c r="E167">
        <f>IF($A167="","",C167+D167)</f>
        <v/>
      </c>
      <c r="F167">
        <f>IF($A167="","",IF(D167&gt;0,-D167/Inputs!$B$6,-D167))</f>
        <v/>
      </c>
      <c r="G167">
        <f>IF($A167="","",F167/Inputs!$B$9)</f>
        <v/>
      </c>
      <c r="H167">
        <f>IF($A167="","",B167*F167)</f>
        <v/>
      </c>
      <c r="I167">
        <f>IF($A167="","",I166+H167)</f>
        <v/>
      </c>
    </row>
    <row r="168">
      <c r="A168">
        <f>IF(Inputs!$A175="","",Inputs!$A175)</f>
        <v/>
      </c>
      <c r="B168">
        <f>IF($A168="","",Inputs!$B175)</f>
        <v/>
      </c>
      <c r="C168">
        <f>IF($A168="","",E167)</f>
        <v/>
      </c>
      <c r="D168">
        <f>IF($A168="","",IF(AND(B168&lt;=$B$1,C168&lt;Inputs!$B$4),MIN(Inputs!$B$3*Inputs!$B$9*Inputs!$B$6,Inputs!$B$4-C168),IF(AND(B168&gt;=$B$2,C168&gt;0),-MIN(Inputs!$B$3*Inputs!$B$9,C168),0)))</f>
        <v/>
      </c>
      <c r="E168">
        <f>IF($A168="","",C168+D168)</f>
        <v/>
      </c>
      <c r="F168">
        <f>IF($A168="","",IF(D168&gt;0,-D168/Inputs!$B$6,-D168))</f>
        <v/>
      </c>
      <c r="G168">
        <f>IF($A168="","",F168/Inputs!$B$9)</f>
        <v/>
      </c>
      <c r="H168">
        <f>IF($A168="","",B168*F168)</f>
        <v/>
      </c>
      <c r="I168">
        <f>IF($A168="","",I167+H168)</f>
        <v/>
      </c>
    </row>
    <row r="169">
      <c r="A169">
        <f>IF(Inputs!$A176="","",Inputs!$A176)</f>
        <v/>
      </c>
      <c r="B169">
        <f>IF($A169="","",Inputs!$B176)</f>
        <v/>
      </c>
      <c r="C169">
        <f>IF($A169="","",E168)</f>
        <v/>
      </c>
      <c r="D169">
        <f>IF($A169="","",IF(AND(B169&lt;=$B$1,C169&lt;Inputs!$B$4),MIN(Inputs!$B$3*Inputs!$B$9*Inputs!$B$6,Inputs!$B$4-C169),IF(AND(B169&gt;=$B$2,C169&gt;0),-MIN(Inputs!$B$3*Inputs!$B$9,C169),0)))</f>
        <v/>
      </c>
      <c r="E169">
        <f>IF($A169="","",C169+D169)</f>
        <v/>
      </c>
      <c r="F169">
        <f>IF($A169="","",IF(D169&gt;0,-D169/Inputs!$B$6,-D169))</f>
        <v/>
      </c>
      <c r="G169">
        <f>IF($A169="","",F169/Inputs!$B$9)</f>
        <v/>
      </c>
      <c r="H169">
        <f>IF($A169="","",B169*F169)</f>
        <v/>
      </c>
      <c r="I169">
        <f>IF($A169="","",I168+H169)</f>
        <v/>
      </c>
    </row>
    <row r="170">
      <c r="A170">
        <f>IF(Inputs!$A177="","",Inputs!$A177)</f>
        <v/>
      </c>
      <c r="B170">
        <f>IF($A170="","",Inputs!$B177)</f>
        <v/>
      </c>
      <c r="C170">
        <f>IF($A170="","",E169)</f>
        <v/>
      </c>
      <c r="D170">
        <f>IF($A170="","",IF(AND(B170&lt;=$B$1,C170&lt;Inputs!$B$4),MIN(Inputs!$B$3*Inputs!$B$9*Inputs!$B$6,Inputs!$B$4-C170),IF(AND(B170&gt;=$B$2,C170&gt;0),-MIN(Inputs!$B$3*Inputs!$B$9,C170),0)))</f>
        <v/>
      </c>
      <c r="E170">
        <f>IF($A170="","",C170+D170)</f>
        <v/>
      </c>
      <c r="F170">
        <f>IF($A170="","",IF(D170&gt;0,-D170/Inputs!$B$6,-D170))</f>
        <v/>
      </c>
      <c r="G170">
        <f>IF($A170="","",F170/Inputs!$B$9)</f>
        <v/>
      </c>
      <c r="H170">
        <f>IF($A170="","",B170*F170)</f>
        <v/>
      </c>
      <c r="I170">
        <f>IF($A170="","",I169+H170)</f>
        <v/>
      </c>
    </row>
    <row r="171">
      <c r="A171">
        <f>IF(Inputs!$A178="","",Inputs!$A178)</f>
        <v/>
      </c>
      <c r="B171">
        <f>IF($A171="","",Inputs!$B178)</f>
        <v/>
      </c>
      <c r="C171">
        <f>IF($A171="","",E170)</f>
        <v/>
      </c>
      <c r="D171">
        <f>IF($A171="","",IF(AND(B171&lt;=$B$1,C171&lt;Inputs!$B$4),MIN(Inputs!$B$3*Inputs!$B$9*Inputs!$B$6,Inputs!$B$4-C171),IF(AND(B171&gt;=$B$2,C171&gt;0),-MIN(Inputs!$B$3*Inputs!$B$9,C171),0)))</f>
        <v/>
      </c>
      <c r="E171">
        <f>IF($A171="","",C171+D171)</f>
        <v/>
      </c>
      <c r="F171">
        <f>IF($A171="","",IF(D171&gt;0,-D171/Inputs!$B$6,-D171))</f>
        <v/>
      </c>
      <c r="G171">
        <f>IF($A171="","",F171/Inputs!$B$9)</f>
        <v/>
      </c>
      <c r="H171">
        <f>IF($A171="","",B171*F171)</f>
        <v/>
      </c>
      <c r="I171">
        <f>IF($A171="","",I170+H171)</f>
        <v/>
      </c>
    </row>
    <row r="172">
      <c r="A172">
        <f>IF(Inputs!$A179="","",Inputs!$A179)</f>
        <v/>
      </c>
      <c r="B172">
        <f>IF($A172="","",Inputs!$B179)</f>
        <v/>
      </c>
      <c r="C172">
        <f>IF($A172="","",E171)</f>
        <v/>
      </c>
      <c r="D172">
        <f>IF($A172="","",IF(AND(B172&lt;=$B$1,C172&lt;Inputs!$B$4),MIN(Inputs!$B$3*Inputs!$B$9*Inputs!$B$6,Inputs!$B$4-C172),IF(AND(B172&gt;=$B$2,C172&gt;0),-MIN(Inputs!$B$3*Inputs!$B$9,C172),0)))</f>
        <v/>
      </c>
      <c r="E172">
        <f>IF($A172="","",C172+D172)</f>
        <v/>
      </c>
      <c r="F172">
        <f>IF($A172="","",IF(D172&gt;0,-D172/Inputs!$B$6,-D172))</f>
        <v/>
      </c>
      <c r="G172">
        <f>IF($A172="","",F172/Inputs!$B$9)</f>
        <v/>
      </c>
      <c r="H172">
        <f>IF($A172="","",B172*F172)</f>
        <v/>
      </c>
      <c r="I172">
        <f>IF($A172="","",I171+H172)</f>
        <v/>
      </c>
    </row>
    <row r="173">
      <c r="A173">
        <f>IF(Inputs!$A180="","",Inputs!$A180)</f>
        <v/>
      </c>
      <c r="B173">
        <f>IF($A173="","",Inputs!$B180)</f>
        <v/>
      </c>
      <c r="C173">
        <f>IF($A173="","",E172)</f>
        <v/>
      </c>
      <c r="D173">
        <f>IF($A173="","",IF(AND(B173&lt;=$B$1,C173&lt;Inputs!$B$4),MIN(Inputs!$B$3*Inputs!$B$9*Inputs!$B$6,Inputs!$B$4-C173),IF(AND(B173&gt;=$B$2,C173&gt;0),-MIN(Inputs!$B$3*Inputs!$B$9,C173),0)))</f>
        <v/>
      </c>
      <c r="E173">
        <f>IF($A173="","",C173+D173)</f>
        <v/>
      </c>
      <c r="F173">
        <f>IF($A173="","",IF(D173&gt;0,-D173/Inputs!$B$6,-D173))</f>
        <v/>
      </c>
      <c r="G173">
        <f>IF($A173="","",F173/Inputs!$B$9)</f>
        <v/>
      </c>
      <c r="H173">
        <f>IF($A173="","",B173*F173)</f>
        <v/>
      </c>
      <c r="I173">
        <f>IF($A173="","",I172+H173)</f>
        <v/>
      </c>
    </row>
    <row r="174">
      <c r="A174">
        <f>IF(Inputs!$A181="","",Inputs!$A181)</f>
        <v/>
      </c>
      <c r="B174">
        <f>IF($A174="","",Inputs!$B181)</f>
        <v/>
      </c>
      <c r="C174">
        <f>IF($A174="","",E173)</f>
        <v/>
      </c>
      <c r="D174">
        <f>IF($A174="","",IF(AND(B174&lt;=$B$1,C174&lt;Inputs!$B$4),MIN(Inputs!$B$3*Inputs!$B$9*Inputs!$B$6,Inputs!$B$4-C174),IF(AND(B174&gt;=$B$2,C174&gt;0),-MIN(Inputs!$B$3*Inputs!$B$9,C174),0)))</f>
        <v/>
      </c>
      <c r="E174">
        <f>IF($A174="","",C174+D174)</f>
        <v/>
      </c>
      <c r="F174">
        <f>IF($A174="","",IF(D174&gt;0,-D174/Inputs!$B$6,-D174))</f>
        <v/>
      </c>
      <c r="G174">
        <f>IF($A174="","",F174/Inputs!$B$9)</f>
        <v/>
      </c>
      <c r="H174">
        <f>IF($A174="","",B174*F174)</f>
        <v/>
      </c>
      <c r="I174">
        <f>IF($A174="","",I173+H174)</f>
        <v/>
      </c>
    </row>
    <row r="175">
      <c r="A175">
        <f>IF(Inputs!$A182="","",Inputs!$A182)</f>
        <v/>
      </c>
      <c r="B175">
        <f>IF($A175="","",Inputs!$B182)</f>
        <v/>
      </c>
      <c r="C175">
        <f>IF($A175="","",E174)</f>
        <v/>
      </c>
      <c r="D175">
        <f>IF($A175="","",IF(AND(B175&lt;=$B$1,C175&lt;Inputs!$B$4),MIN(Inputs!$B$3*Inputs!$B$9*Inputs!$B$6,Inputs!$B$4-C175),IF(AND(B175&gt;=$B$2,C175&gt;0),-MIN(Inputs!$B$3*Inputs!$B$9,C175),0)))</f>
        <v/>
      </c>
      <c r="E175">
        <f>IF($A175="","",C175+D175)</f>
        <v/>
      </c>
      <c r="F175">
        <f>IF($A175="","",IF(D175&gt;0,-D175/Inputs!$B$6,-D175))</f>
        <v/>
      </c>
      <c r="G175">
        <f>IF($A175="","",F175/Inputs!$B$9)</f>
        <v/>
      </c>
      <c r="H175">
        <f>IF($A175="","",B175*F175)</f>
        <v/>
      </c>
      <c r="I175">
        <f>IF($A175="","",I174+H175)</f>
        <v/>
      </c>
    </row>
    <row r="176">
      <c r="A176">
        <f>IF(Inputs!$A183="","",Inputs!$A183)</f>
        <v/>
      </c>
      <c r="B176">
        <f>IF($A176="","",Inputs!$B183)</f>
        <v/>
      </c>
      <c r="C176">
        <f>IF($A176="","",E175)</f>
        <v/>
      </c>
      <c r="D176">
        <f>IF($A176="","",IF(AND(B176&lt;=$B$1,C176&lt;Inputs!$B$4),MIN(Inputs!$B$3*Inputs!$B$9*Inputs!$B$6,Inputs!$B$4-C176),IF(AND(B176&gt;=$B$2,C176&gt;0),-MIN(Inputs!$B$3*Inputs!$B$9,C176),0)))</f>
        <v/>
      </c>
      <c r="E176">
        <f>IF($A176="","",C176+D176)</f>
        <v/>
      </c>
      <c r="F176">
        <f>IF($A176="","",IF(D176&gt;0,-D176/Inputs!$B$6,-D176))</f>
        <v/>
      </c>
      <c r="G176">
        <f>IF($A176="","",F176/Inputs!$B$9)</f>
        <v/>
      </c>
      <c r="H176">
        <f>IF($A176="","",B176*F176)</f>
        <v/>
      </c>
      <c r="I176">
        <f>IF($A176="","",I175+H176)</f>
        <v/>
      </c>
    </row>
    <row r="177">
      <c r="A177">
        <f>IF(Inputs!$A184="","",Inputs!$A184)</f>
        <v/>
      </c>
      <c r="B177">
        <f>IF($A177="","",Inputs!$B184)</f>
        <v/>
      </c>
      <c r="C177">
        <f>IF($A177="","",E176)</f>
        <v/>
      </c>
      <c r="D177">
        <f>IF($A177="","",IF(AND(B177&lt;=$B$1,C177&lt;Inputs!$B$4),MIN(Inputs!$B$3*Inputs!$B$9*Inputs!$B$6,Inputs!$B$4-C177),IF(AND(B177&gt;=$B$2,C177&gt;0),-MIN(Inputs!$B$3*Inputs!$B$9,C177),0)))</f>
        <v/>
      </c>
      <c r="E177">
        <f>IF($A177="","",C177+D177)</f>
        <v/>
      </c>
      <c r="F177">
        <f>IF($A177="","",IF(D177&gt;0,-D177/Inputs!$B$6,-D177))</f>
        <v/>
      </c>
      <c r="G177">
        <f>IF($A177="","",F177/Inputs!$B$9)</f>
        <v/>
      </c>
      <c r="H177">
        <f>IF($A177="","",B177*F177)</f>
        <v/>
      </c>
      <c r="I177">
        <f>IF($A177="","",I176+H177)</f>
        <v/>
      </c>
    </row>
    <row r="178">
      <c r="A178">
        <f>IF(Inputs!$A185="","",Inputs!$A185)</f>
        <v/>
      </c>
      <c r="B178">
        <f>IF($A178="","",Inputs!$B185)</f>
        <v/>
      </c>
      <c r="C178">
        <f>IF($A178="","",E177)</f>
        <v/>
      </c>
      <c r="D178">
        <f>IF($A178="","",IF(AND(B178&lt;=$B$1,C178&lt;Inputs!$B$4),MIN(Inputs!$B$3*Inputs!$B$9*Inputs!$B$6,Inputs!$B$4-C178),IF(AND(B178&gt;=$B$2,C178&gt;0),-MIN(Inputs!$B$3*Inputs!$B$9,C178),0)))</f>
        <v/>
      </c>
      <c r="E178">
        <f>IF($A178="","",C178+D178)</f>
        <v/>
      </c>
      <c r="F178">
        <f>IF($A178="","",IF(D178&gt;0,-D178/Inputs!$B$6,-D178))</f>
        <v/>
      </c>
      <c r="G178">
        <f>IF($A178="","",F178/Inputs!$B$9)</f>
        <v/>
      </c>
      <c r="H178">
        <f>IF($A178="","",B178*F178)</f>
        <v/>
      </c>
      <c r="I178">
        <f>IF($A178="","",I177+H178)</f>
        <v/>
      </c>
    </row>
    <row r="179">
      <c r="A179">
        <f>IF(Inputs!$A186="","",Inputs!$A186)</f>
        <v/>
      </c>
      <c r="B179">
        <f>IF($A179="","",Inputs!$B186)</f>
        <v/>
      </c>
      <c r="C179">
        <f>IF($A179="","",E178)</f>
        <v/>
      </c>
      <c r="D179">
        <f>IF($A179="","",IF(AND(B179&lt;=$B$1,C179&lt;Inputs!$B$4),MIN(Inputs!$B$3*Inputs!$B$9*Inputs!$B$6,Inputs!$B$4-C179),IF(AND(B179&gt;=$B$2,C179&gt;0),-MIN(Inputs!$B$3*Inputs!$B$9,C179),0)))</f>
        <v/>
      </c>
      <c r="E179">
        <f>IF($A179="","",C179+D179)</f>
        <v/>
      </c>
      <c r="F179">
        <f>IF($A179="","",IF(D179&gt;0,-D179/Inputs!$B$6,-D179))</f>
        <v/>
      </c>
      <c r="G179">
        <f>IF($A179="","",F179/Inputs!$B$9)</f>
        <v/>
      </c>
      <c r="H179">
        <f>IF($A179="","",B179*F179)</f>
        <v/>
      </c>
      <c r="I179">
        <f>IF($A179="","",I178+H179)</f>
        <v/>
      </c>
    </row>
    <row r="180">
      <c r="A180">
        <f>IF(Inputs!$A187="","",Inputs!$A187)</f>
        <v/>
      </c>
      <c r="B180">
        <f>IF($A180="","",Inputs!$B187)</f>
        <v/>
      </c>
      <c r="C180">
        <f>IF($A180="","",E179)</f>
        <v/>
      </c>
      <c r="D180">
        <f>IF($A180="","",IF(AND(B180&lt;=$B$1,C180&lt;Inputs!$B$4),MIN(Inputs!$B$3*Inputs!$B$9*Inputs!$B$6,Inputs!$B$4-C180),IF(AND(B180&gt;=$B$2,C180&gt;0),-MIN(Inputs!$B$3*Inputs!$B$9,C180),0)))</f>
        <v/>
      </c>
      <c r="E180">
        <f>IF($A180="","",C180+D180)</f>
        <v/>
      </c>
      <c r="F180">
        <f>IF($A180="","",IF(D180&gt;0,-D180/Inputs!$B$6,-D180))</f>
        <v/>
      </c>
      <c r="G180">
        <f>IF($A180="","",F180/Inputs!$B$9)</f>
        <v/>
      </c>
      <c r="H180">
        <f>IF($A180="","",B180*F180)</f>
        <v/>
      </c>
      <c r="I180">
        <f>IF($A180="","",I179+H180)</f>
        <v/>
      </c>
    </row>
    <row r="181">
      <c r="A181">
        <f>IF(Inputs!$A188="","",Inputs!$A188)</f>
        <v/>
      </c>
      <c r="B181">
        <f>IF($A181="","",Inputs!$B188)</f>
        <v/>
      </c>
      <c r="C181">
        <f>IF($A181="","",E180)</f>
        <v/>
      </c>
      <c r="D181">
        <f>IF($A181="","",IF(AND(B181&lt;=$B$1,C181&lt;Inputs!$B$4),MIN(Inputs!$B$3*Inputs!$B$9*Inputs!$B$6,Inputs!$B$4-C181),IF(AND(B181&gt;=$B$2,C181&gt;0),-MIN(Inputs!$B$3*Inputs!$B$9,C181),0)))</f>
        <v/>
      </c>
      <c r="E181">
        <f>IF($A181="","",C181+D181)</f>
        <v/>
      </c>
      <c r="F181">
        <f>IF($A181="","",IF(D181&gt;0,-D181/Inputs!$B$6,-D181))</f>
        <v/>
      </c>
      <c r="G181">
        <f>IF($A181="","",F181/Inputs!$B$9)</f>
        <v/>
      </c>
      <c r="H181">
        <f>IF($A181="","",B181*F181)</f>
        <v/>
      </c>
      <c r="I181">
        <f>IF($A181="","",I180+H181)</f>
        <v/>
      </c>
    </row>
    <row r="182">
      <c r="A182">
        <f>IF(Inputs!$A189="","",Inputs!$A189)</f>
        <v/>
      </c>
      <c r="B182">
        <f>IF($A182="","",Inputs!$B189)</f>
        <v/>
      </c>
      <c r="C182">
        <f>IF($A182="","",E181)</f>
        <v/>
      </c>
      <c r="D182">
        <f>IF($A182="","",IF(AND(B182&lt;=$B$1,C182&lt;Inputs!$B$4),MIN(Inputs!$B$3*Inputs!$B$9*Inputs!$B$6,Inputs!$B$4-C182),IF(AND(B182&gt;=$B$2,C182&gt;0),-MIN(Inputs!$B$3*Inputs!$B$9,C182),0)))</f>
        <v/>
      </c>
      <c r="E182">
        <f>IF($A182="","",C182+D182)</f>
        <v/>
      </c>
      <c r="F182">
        <f>IF($A182="","",IF(D182&gt;0,-D182/Inputs!$B$6,-D182))</f>
        <v/>
      </c>
      <c r="G182">
        <f>IF($A182="","",F182/Inputs!$B$9)</f>
        <v/>
      </c>
      <c r="H182">
        <f>IF($A182="","",B182*F182)</f>
        <v/>
      </c>
      <c r="I182">
        <f>IF($A182="","",I181+H182)</f>
        <v/>
      </c>
    </row>
    <row r="183">
      <c r="A183">
        <f>IF(Inputs!$A190="","",Inputs!$A190)</f>
        <v/>
      </c>
      <c r="B183">
        <f>IF($A183="","",Inputs!$B190)</f>
        <v/>
      </c>
      <c r="C183">
        <f>IF($A183="","",E182)</f>
        <v/>
      </c>
      <c r="D183">
        <f>IF($A183="","",IF(AND(B183&lt;=$B$1,C183&lt;Inputs!$B$4),MIN(Inputs!$B$3*Inputs!$B$9*Inputs!$B$6,Inputs!$B$4-C183),IF(AND(B183&gt;=$B$2,C183&gt;0),-MIN(Inputs!$B$3*Inputs!$B$9,C183),0)))</f>
        <v/>
      </c>
      <c r="E183">
        <f>IF($A183="","",C183+D183)</f>
        <v/>
      </c>
      <c r="F183">
        <f>IF($A183="","",IF(D183&gt;0,-D183/Inputs!$B$6,-D183))</f>
        <v/>
      </c>
      <c r="G183">
        <f>IF($A183="","",F183/Inputs!$B$9)</f>
        <v/>
      </c>
      <c r="H183">
        <f>IF($A183="","",B183*F183)</f>
        <v/>
      </c>
      <c r="I183">
        <f>IF($A183="","",I182+H183)</f>
        <v/>
      </c>
    </row>
    <row r="184">
      <c r="A184">
        <f>IF(Inputs!$A191="","",Inputs!$A191)</f>
        <v/>
      </c>
      <c r="B184">
        <f>IF($A184="","",Inputs!$B191)</f>
        <v/>
      </c>
      <c r="C184">
        <f>IF($A184="","",E183)</f>
        <v/>
      </c>
      <c r="D184">
        <f>IF($A184="","",IF(AND(B184&lt;=$B$1,C184&lt;Inputs!$B$4),MIN(Inputs!$B$3*Inputs!$B$9*Inputs!$B$6,Inputs!$B$4-C184),IF(AND(B184&gt;=$B$2,C184&gt;0),-MIN(Inputs!$B$3*Inputs!$B$9,C184),0)))</f>
        <v/>
      </c>
      <c r="E184">
        <f>IF($A184="","",C184+D184)</f>
        <v/>
      </c>
      <c r="F184">
        <f>IF($A184="","",IF(D184&gt;0,-D184/Inputs!$B$6,-D184))</f>
        <v/>
      </c>
      <c r="G184">
        <f>IF($A184="","",F184/Inputs!$B$9)</f>
        <v/>
      </c>
      <c r="H184">
        <f>IF($A184="","",B184*F184)</f>
        <v/>
      </c>
      <c r="I184">
        <f>IF($A184="","",I183+H184)</f>
        <v/>
      </c>
    </row>
    <row r="185">
      <c r="A185">
        <f>IF(Inputs!$A192="","",Inputs!$A192)</f>
        <v/>
      </c>
      <c r="B185">
        <f>IF($A185="","",Inputs!$B192)</f>
        <v/>
      </c>
      <c r="C185">
        <f>IF($A185="","",E184)</f>
        <v/>
      </c>
      <c r="D185">
        <f>IF($A185="","",IF(AND(B185&lt;=$B$1,C185&lt;Inputs!$B$4),MIN(Inputs!$B$3*Inputs!$B$9*Inputs!$B$6,Inputs!$B$4-C185),IF(AND(B185&gt;=$B$2,C185&gt;0),-MIN(Inputs!$B$3*Inputs!$B$9,C185),0)))</f>
        <v/>
      </c>
      <c r="E185">
        <f>IF($A185="","",C185+D185)</f>
        <v/>
      </c>
      <c r="F185">
        <f>IF($A185="","",IF(D185&gt;0,-D185/Inputs!$B$6,-D185))</f>
        <v/>
      </c>
      <c r="G185">
        <f>IF($A185="","",F185/Inputs!$B$9)</f>
        <v/>
      </c>
      <c r="H185">
        <f>IF($A185="","",B185*F185)</f>
        <v/>
      </c>
      <c r="I185">
        <f>IF($A185="","",I184+H185)</f>
        <v/>
      </c>
    </row>
    <row r="186">
      <c r="A186">
        <f>IF(Inputs!$A193="","",Inputs!$A193)</f>
        <v/>
      </c>
      <c r="B186">
        <f>IF($A186="","",Inputs!$B193)</f>
        <v/>
      </c>
      <c r="C186">
        <f>IF($A186="","",E185)</f>
        <v/>
      </c>
      <c r="D186">
        <f>IF($A186="","",IF(AND(B186&lt;=$B$1,C186&lt;Inputs!$B$4),MIN(Inputs!$B$3*Inputs!$B$9*Inputs!$B$6,Inputs!$B$4-C186),IF(AND(B186&gt;=$B$2,C186&gt;0),-MIN(Inputs!$B$3*Inputs!$B$9,C186),0)))</f>
        <v/>
      </c>
      <c r="E186">
        <f>IF($A186="","",C186+D186)</f>
        <v/>
      </c>
      <c r="F186">
        <f>IF($A186="","",IF(D186&gt;0,-D186/Inputs!$B$6,-D186))</f>
        <v/>
      </c>
      <c r="G186">
        <f>IF($A186="","",F186/Inputs!$B$9)</f>
        <v/>
      </c>
      <c r="H186">
        <f>IF($A186="","",B186*F186)</f>
        <v/>
      </c>
      <c r="I186">
        <f>IF($A186="","",I185+H186)</f>
        <v/>
      </c>
    </row>
    <row r="187">
      <c r="A187">
        <f>IF(Inputs!$A194="","",Inputs!$A194)</f>
        <v/>
      </c>
      <c r="B187">
        <f>IF($A187="","",Inputs!$B194)</f>
        <v/>
      </c>
      <c r="C187">
        <f>IF($A187="","",E186)</f>
        <v/>
      </c>
      <c r="D187">
        <f>IF($A187="","",IF(AND(B187&lt;=$B$1,C187&lt;Inputs!$B$4),MIN(Inputs!$B$3*Inputs!$B$9*Inputs!$B$6,Inputs!$B$4-C187),IF(AND(B187&gt;=$B$2,C187&gt;0),-MIN(Inputs!$B$3*Inputs!$B$9,C187),0)))</f>
        <v/>
      </c>
      <c r="E187">
        <f>IF($A187="","",C187+D187)</f>
        <v/>
      </c>
      <c r="F187">
        <f>IF($A187="","",IF(D187&gt;0,-D187/Inputs!$B$6,-D187))</f>
        <v/>
      </c>
      <c r="G187">
        <f>IF($A187="","",F187/Inputs!$B$9)</f>
        <v/>
      </c>
      <c r="H187">
        <f>IF($A187="","",B187*F187)</f>
        <v/>
      </c>
      <c r="I187">
        <f>IF($A187="","",I186+H187)</f>
        <v/>
      </c>
    </row>
    <row r="188">
      <c r="A188">
        <f>IF(Inputs!$A195="","",Inputs!$A195)</f>
        <v/>
      </c>
      <c r="B188">
        <f>IF($A188="","",Inputs!$B195)</f>
        <v/>
      </c>
      <c r="C188">
        <f>IF($A188="","",E187)</f>
        <v/>
      </c>
      <c r="D188">
        <f>IF($A188="","",IF(AND(B188&lt;=$B$1,C188&lt;Inputs!$B$4),MIN(Inputs!$B$3*Inputs!$B$9*Inputs!$B$6,Inputs!$B$4-C188),IF(AND(B188&gt;=$B$2,C188&gt;0),-MIN(Inputs!$B$3*Inputs!$B$9,C188),0)))</f>
        <v/>
      </c>
      <c r="E188">
        <f>IF($A188="","",C188+D188)</f>
        <v/>
      </c>
      <c r="F188">
        <f>IF($A188="","",IF(D188&gt;0,-D188/Inputs!$B$6,-D188))</f>
        <v/>
      </c>
      <c r="G188">
        <f>IF($A188="","",F188/Inputs!$B$9)</f>
        <v/>
      </c>
      <c r="H188">
        <f>IF($A188="","",B188*F188)</f>
        <v/>
      </c>
      <c r="I188">
        <f>IF($A188="","",I187+H188)</f>
        <v/>
      </c>
    </row>
    <row r="189">
      <c r="A189">
        <f>IF(Inputs!$A196="","",Inputs!$A196)</f>
        <v/>
      </c>
      <c r="B189">
        <f>IF($A189="","",Inputs!$B196)</f>
        <v/>
      </c>
      <c r="C189">
        <f>IF($A189="","",E188)</f>
        <v/>
      </c>
      <c r="D189">
        <f>IF($A189="","",IF(AND(B189&lt;=$B$1,C189&lt;Inputs!$B$4),MIN(Inputs!$B$3*Inputs!$B$9*Inputs!$B$6,Inputs!$B$4-C189),IF(AND(B189&gt;=$B$2,C189&gt;0),-MIN(Inputs!$B$3*Inputs!$B$9,C189),0)))</f>
        <v/>
      </c>
      <c r="E189">
        <f>IF($A189="","",C189+D189)</f>
        <v/>
      </c>
      <c r="F189">
        <f>IF($A189="","",IF(D189&gt;0,-D189/Inputs!$B$6,-D189))</f>
        <v/>
      </c>
      <c r="G189">
        <f>IF($A189="","",F189/Inputs!$B$9)</f>
        <v/>
      </c>
      <c r="H189">
        <f>IF($A189="","",B189*F189)</f>
        <v/>
      </c>
      <c r="I189">
        <f>IF($A189="","",I188+H189)</f>
        <v/>
      </c>
    </row>
    <row r="190">
      <c r="A190">
        <f>IF(Inputs!$A197="","",Inputs!$A197)</f>
        <v/>
      </c>
      <c r="B190">
        <f>IF($A190="","",Inputs!$B197)</f>
        <v/>
      </c>
      <c r="C190">
        <f>IF($A190="","",E189)</f>
        <v/>
      </c>
      <c r="D190">
        <f>IF($A190="","",IF(AND(B190&lt;=$B$1,C190&lt;Inputs!$B$4),MIN(Inputs!$B$3*Inputs!$B$9*Inputs!$B$6,Inputs!$B$4-C190),IF(AND(B190&gt;=$B$2,C190&gt;0),-MIN(Inputs!$B$3*Inputs!$B$9,C190),0)))</f>
        <v/>
      </c>
      <c r="E190">
        <f>IF($A190="","",C190+D190)</f>
        <v/>
      </c>
      <c r="F190">
        <f>IF($A190="","",IF(D190&gt;0,-D190/Inputs!$B$6,-D190))</f>
        <v/>
      </c>
      <c r="G190">
        <f>IF($A190="","",F190/Inputs!$B$9)</f>
        <v/>
      </c>
      <c r="H190">
        <f>IF($A190="","",B190*F190)</f>
        <v/>
      </c>
      <c r="I190">
        <f>IF($A190="","",I189+H190)</f>
        <v/>
      </c>
    </row>
    <row r="191">
      <c r="A191">
        <f>IF(Inputs!$A198="","",Inputs!$A198)</f>
        <v/>
      </c>
      <c r="B191">
        <f>IF($A191="","",Inputs!$B198)</f>
        <v/>
      </c>
      <c r="C191">
        <f>IF($A191="","",E190)</f>
        <v/>
      </c>
      <c r="D191">
        <f>IF($A191="","",IF(AND(B191&lt;=$B$1,C191&lt;Inputs!$B$4),MIN(Inputs!$B$3*Inputs!$B$9*Inputs!$B$6,Inputs!$B$4-C191),IF(AND(B191&gt;=$B$2,C191&gt;0),-MIN(Inputs!$B$3*Inputs!$B$9,C191),0)))</f>
        <v/>
      </c>
      <c r="E191">
        <f>IF($A191="","",C191+D191)</f>
        <v/>
      </c>
      <c r="F191">
        <f>IF($A191="","",IF(D191&gt;0,-D191/Inputs!$B$6,-D191))</f>
        <v/>
      </c>
      <c r="G191">
        <f>IF($A191="","",F191/Inputs!$B$9)</f>
        <v/>
      </c>
      <c r="H191">
        <f>IF($A191="","",B191*F191)</f>
        <v/>
      </c>
      <c r="I191">
        <f>IF($A191="","",I190+H191)</f>
        <v/>
      </c>
    </row>
    <row r="192">
      <c r="A192">
        <f>IF(Inputs!$A199="","",Inputs!$A199)</f>
        <v/>
      </c>
      <c r="B192">
        <f>IF($A192="","",Inputs!$B199)</f>
        <v/>
      </c>
      <c r="C192">
        <f>IF($A192="","",E191)</f>
        <v/>
      </c>
      <c r="D192">
        <f>IF($A192="","",IF(AND(B192&lt;=$B$1,C192&lt;Inputs!$B$4),MIN(Inputs!$B$3*Inputs!$B$9*Inputs!$B$6,Inputs!$B$4-C192),IF(AND(B192&gt;=$B$2,C192&gt;0),-MIN(Inputs!$B$3*Inputs!$B$9,C192),0)))</f>
        <v/>
      </c>
      <c r="E192">
        <f>IF($A192="","",C192+D192)</f>
        <v/>
      </c>
      <c r="F192">
        <f>IF($A192="","",IF(D192&gt;0,-D192/Inputs!$B$6,-D192))</f>
        <v/>
      </c>
      <c r="G192">
        <f>IF($A192="","",F192/Inputs!$B$9)</f>
        <v/>
      </c>
      <c r="H192">
        <f>IF($A192="","",B192*F192)</f>
        <v/>
      </c>
      <c r="I192">
        <f>IF($A192="","",I191+H192)</f>
        <v/>
      </c>
    </row>
    <row r="193">
      <c r="A193">
        <f>IF(Inputs!$A200="","",Inputs!$A200)</f>
        <v/>
      </c>
      <c r="B193">
        <f>IF($A193="","",Inputs!$B200)</f>
        <v/>
      </c>
      <c r="C193">
        <f>IF($A193="","",E192)</f>
        <v/>
      </c>
      <c r="D193">
        <f>IF($A193="","",IF(AND(B193&lt;=$B$1,C193&lt;Inputs!$B$4),MIN(Inputs!$B$3*Inputs!$B$9*Inputs!$B$6,Inputs!$B$4-C193),IF(AND(B193&gt;=$B$2,C193&gt;0),-MIN(Inputs!$B$3*Inputs!$B$9,C193),0)))</f>
        <v/>
      </c>
      <c r="E193">
        <f>IF($A193="","",C193+D193)</f>
        <v/>
      </c>
      <c r="F193">
        <f>IF($A193="","",IF(D193&gt;0,-D193/Inputs!$B$6,-D193))</f>
        <v/>
      </c>
      <c r="G193">
        <f>IF($A193="","",F193/Inputs!$B$9)</f>
        <v/>
      </c>
      <c r="H193">
        <f>IF($A193="","",B193*F193)</f>
        <v/>
      </c>
      <c r="I193">
        <f>IF($A193="","",I192+H193)</f>
        <v/>
      </c>
    </row>
    <row r="194">
      <c r="A194">
        <f>IF(Inputs!$A201="","",Inputs!$A201)</f>
        <v/>
      </c>
      <c r="B194">
        <f>IF($A194="","",Inputs!$B201)</f>
        <v/>
      </c>
      <c r="C194">
        <f>IF($A194="","",E193)</f>
        <v/>
      </c>
      <c r="D194">
        <f>IF($A194="","",IF(AND(B194&lt;=$B$1,C194&lt;Inputs!$B$4),MIN(Inputs!$B$3*Inputs!$B$9*Inputs!$B$6,Inputs!$B$4-C194),IF(AND(B194&gt;=$B$2,C194&gt;0),-MIN(Inputs!$B$3*Inputs!$B$9,C194),0)))</f>
        <v/>
      </c>
      <c r="E194">
        <f>IF($A194="","",C194+D194)</f>
        <v/>
      </c>
      <c r="F194">
        <f>IF($A194="","",IF(D194&gt;0,-D194/Inputs!$B$6,-D194))</f>
        <v/>
      </c>
      <c r="G194">
        <f>IF($A194="","",F194/Inputs!$B$9)</f>
        <v/>
      </c>
      <c r="H194">
        <f>IF($A194="","",B194*F194)</f>
        <v/>
      </c>
      <c r="I194">
        <f>IF($A194="","",I193+H194)</f>
        <v/>
      </c>
    </row>
    <row r="195">
      <c r="A195">
        <f>IF(Inputs!$A202="","",Inputs!$A202)</f>
        <v/>
      </c>
      <c r="B195">
        <f>IF($A195="","",Inputs!$B202)</f>
        <v/>
      </c>
      <c r="C195">
        <f>IF($A195="","",E194)</f>
        <v/>
      </c>
      <c r="D195">
        <f>IF($A195="","",IF(AND(B195&lt;=$B$1,C195&lt;Inputs!$B$4),MIN(Inputs!$B$3*Inputs!$B$9*Inputs!$B$6,Inputs!$B$4-C195),IF(AND(B195&gt;=$B$2,C195&gt;0),-MIN(Inputs!$B$3*Inputs!$B$9,C195),0)))</f>
        <v/>
      </c>
      <c r="E195">
        <f>IF($A195="","",C195+D195)</f>
        <v/>
      </c>
      <c r="F195">
        <f>IF($A195="","",IF(D195&gt;0,-D195/Inputs!$B$6,-D195))</f>
        <v/>
      </c>
      <c r="G195">
        <f>IF($A195="","",F195/Inputs!$B$9)</f>
        <v/>
      </c>
      <c r="H195">
        <f>IF($A195="","",B195*F195)</f>
        <v/>
      </c>
      <c r="I195">
        <f>IF($A195="","",I194+H195)</f>
        <v/>
      </c>
    </row>
    <row r="196">
      <c r="A196">
        <f>IF(Inputs!$A203="","",Inputs!$A203)</f>
        <v/>
      </c>
      <c r="B196">
        <f>IF($A196="","",Inputs!$B203)</f>
        <v/>
      </c>
      <c r="C196">
        <f>IF($A196="","",E195)</f>
        <v/>
      </c>
      <c r="D196">
        <f>IF($A196="","",IF(AND(B196&lt;=$B$1,C196&lt;Inputs!$B$4),MIN(Inputs!$B$3*Inputs!$B$9*Inputs!$B$6,Inputs!$B$4-C196),IF(AND(B196&gt;=$B$2,C196&gt;0),-MIN(Inputs!$B$3*Inputs!$B$9,C196),0)))</f>
        <v/>
      </c>
      <c r="E196">
        <f>IF($A196="","",C196+D196)</f>
        <v/>
      </c>
      <c r="F196">
        <f>IF($A196="","",IF(D196&gt;0,-D196/Inputs!$B$6,-D196))</f>
        <v/>
      </c>
      <c r="G196">
        <f>IF($A196="","",F196/Inputs!$B$9)</f>
        <v/>
      </c>
      <c r="H196">
        <f>IF($A196="","",B196*F196)</f>
        <v/>
      </c>
      <c r="I196">
        <f>IF($A196="","",I195+H196)</f>
        <v/>
      </c>
    </row>
    <row r="197">
      <c r="A197">
        <f>IF(Inputs!$A204="","",Inputs!$A204)</f>
        <v/>
      </c>
      <c r="B197">
        <f>IF($A197="","",Inputs!$B204)</f>
        <v/>
      </c>
      <c r="C197">
        <f>IF($A197="","",E196)</f>
        <v/>
      </c>
      <c r="D197">
        <f>IF($A197="","",IF(AND(B197&lt;=$B$1,C197&lt;Inputs!$B$4),MIN(Inputs!$B$3*Inputs!$B$9*Inputs!$B$6,Inputs!$B$4-C197),IF(AND(B197&gt;=$B$2,C197&gt;0),-MIN(Inputs!$B$3*Inputs!$B$9,C197),0)))</f>
        <v/>
      </c>
      <c r="E197">
        <f>IF($A197="","",C197+D197)</f>
        <v/>
      </c>
      <c r="F197">
        <f>IF($A197="","",IF(D197&gt;0,-D197/Inputs!$B$6,-D197))</f>
        <v/>
      </c>
      <c r="G197">
        <f>IF($A197="","",F197/Inputs!$B$9)</f>
        <v/>
      </c>
      <c r="H197">
        <f>IF($A197="","",B197*F197)</f>
        <v/>
      </c>
      <c r="I197">
        <f>IF($A197="","",I196+H197)</f>
        <v/>
      </c>
    </row>
    <row r="198">
      <c r="A198">
        <f>IF(Inputs!$A205="","",Inputs!$A205)</f>
        <v/>
      </c>
      <c r="B198">
        <f>IF($A198="","",Inputs!$B205)</f>
        <v/>
      </c>
      <c r="C198">
        <f>IF($A198="","",E197)</f>
        <v/>
      </c>
      <c r="D198">
        <f>IF($A198="","",IF(AND(B198&lt;=$B$1,C198&lt;Inputs!$B$4),MIN(Inputs!$B$3*Inputs!$B$9*Inputs!$B$6,Inputs!$B$4-C198),IF(AND(B198&gt;=$B$2,C198&gt;0),-MIN(Inputs!$B$3*Inputs!$B$9,C198),0)))</f>
        <v/>
      </c>
      <c r="E198">
        <f>IF($A198="","",C198+D198)</f>
        <v/>
      </c>
      <c r="F198">
        <f>IF($A198="","",IF(D198&gt;0,-D198/Inputs!$B$6,-D198))</f>
        <v/>
      </c>
      <c r="G198">
        <f>IF($A198="","",F198/Inputs!$B$9)</f>
        <v/>
      </c>
      <c r="H198">
        <f>IF($A198="","",B198*F198)</f>
        <v/>
      </c>
      <c r="I198">
        <f>IF($A198="","",I197+H198)</f>
        <v/>
      </c>
    </row>
    <row r="199">
      <c r="A199">
        <f>IF(Inputs!$A206="","",Inputs!$A206)</f>
        <v/>
      </c>
      <c r="B199">
        <f>IF($A199="","",Inputs!$B206)</f>
        <v/>
      </c>
      <c r="C199">
        <f>IF($A199="","",E198)</f>
        <v/>
      </c>
      <c r="D199">
        <f>IF($A199="","",IF(AND(B199&lt;=$B$1,C199&lt;Inputs!$B$4),MIN(Inputs!$B$3*Inputs!$B$9*Inputs!$B$6,Inputs!$B$4-C199),IF(AND(B199&gt;=$B$2,C199&gt;0),-MIN(Inputs!$B$3*Inputs!$B$9,C199),0)))</f>
        <v/>
      </c>
      <c r="E199">
        <f>IF($A199="","",C199+D199)</f>
        <v/>
      </c>
      <c r="F199">
        <f>IF($A199="","",IF(D199&gt;0,-D199/Inputs!$B$6,-D199))</f>
        <v/>
      </c>
      <c r="G199">
        <f>IF($A199="","",F199/Inputs!$B$9)</f>
        <v/>
      </c>
      <c r="H199">
        <f>IF($A199="","",B199*F199)</f>
        <v/>
      </c>
      <c r="I199">
        <f>IF($A199="","",I198+H199)</f>
        <v/>
      </c>
    </row>
    <row r="200">
      <c r="A200">
        <f>IF(Inputs!$A207="","",Inputs!$A207)</f>
        <v/>
      </c>
      <c r="B200">
        <f>IF($A200="","",Inputs!$B207)</f>
        <v/>
      </c>
      <c r="C200">
        <f>IF($A200="","",E199)</f>
        <v/>
      </c>
      <c r="D200">
        <f>IF($A200="","",IF(AND(B200&lt;=$B$1,C200&lt;Inputs!$B$4),MIN(Inputs!$B$3*Inputs!$B$9*Inputs!$B$6,Inputs!$B$4-C200),IF(AND(B200&gt;=$B$2,C200&gt;0),-MIN(Inputs!$B$3*Inputs!$B$9,C200),0)))</f>
        <v/>
      </c>
      <c r="E200">
        <f>IF($A200="","",C200+D200)</f>
        <v/>
      </c>
      <c r="F200">
        <f>IF($A200="","",IF(D200&gt;0,-D200/Inputs!$B$6,-D200))</f>
        <v/>
      </c>
      <c r="G200">
        <f>IF($A200="","",F200/Inputs!$B$9)</f>
        <v/>
      </c>
      <c r="H200">
        <f>IF($A200="","",B200*F200)</f>
        <v/>
      </c>
      <c r="I200">
        <f>IF($A200="","",I199+H200)</f>
        <v/>
      </c>
    </row>
    <row r="201">
      <c r="A201">
        <f>IF(Inputs!$A208="","",Inputs!$A208)</f>
        <v/>
      </c>
      <c r="B201">
        <f>IF($A201="","",Inputs!$B208)</f>
        <v/>
      </c>
      <c r="C201">
        <f>IF($A201="","",E200)</f>
        <v/>
      </c>
      <c r="D201">
        <f>IF($A201="","",IF(AND(B201&lt;=$B$1,C201&lt;Inputs!$B$4),MIN(Inputs!$B$3*Inputs!$B$9*Inputs!$B$6,Inputs!$B$4-C201),IF(AND(B201&gt;=$B$2,C201&gt;0),-MIN(Inputs!$B$3*Inputs!$B$9,C201),0)))</f>
        <v/>
      </c>
      <c r="E201">
        <f>IF($A201="","",C201+D201)</f>
        <v/>
      </c>
      <c r="F201">
        <f>IF($A201="","",IF(D201&gt;0,-D201/Inputs!$B$6,-D201))</f>
        <v/>
      </c>
      <c r="G201">
        <f>IF($A201="","",F201/Inputs!$B$9)</f>
        <v/>
      </c>
      <c r="H201">
        <f>IF($A201="","",B201*F201)</f>
        <v/>
      </c>
      <c r="I201">
        <f>IF($A201="","",I200+H201)</f>
        <v/>
      </c>
    </row>
    <row r="202">
      <c r="A202">
        <f>IF(Inputs!$A209="","",Inputs!$A209)</f>
        <v/>
      </c>
      <c r="B202">
        <f>IF($A202="","",Inputs!$B209)</f>
        <v/>
      </c>
      <c r="C202">
        <f>IF($A202="","",E201)</f>
        <v/>
      </c>
      <c r="D202">
        <f>IF($A202="","",IF(AND(B202&lt;=$B$1,C202&lt;Inputs!$B$4),MIN(Inputs!$B$3*Inputs!$B$9*Inputs!$B$6,Inputs!$B$4-C202),IF(AND(B202&gt;=$B$2,C202&gt;0),-MIN(Inputs!$B$3*Inputs!$B$9,C202),0)))</f>
        <v/>
      </c>
      <c r="E202">
        <f>IF($A202="","",C202+D202)</f>
        <v/>
      </c>
      <c r="F202">
        <f>IF($A202="","",IF(D202&gt;0,-D202/Inputs!$B$6,-D202))</f>
        <v/>
      </c>
      <c r="G202">
        <f>IF($A202="","",F202/Inputs!$B$9)</f>
        <v/>
      </c>
      <c r="H202">
        <f>IF($A202="","",B202*F202)</f>
        <v/>
      </c>
      <c r="I202">
        <f>IF($A202="","",I201+H202)</f>
        <v/>
      </c>
    </row>
    <row r="203">
      <c r="A203">
        <f>IF(Inputs!$A210="","",Inputs!$A210)</f>
        <v/>
      </c>
      <c r="B203">
        <f>IF($A203="","",Inputs!$B210)</f>
        <v/>
      </c>
      <c r="C203">
        <f>IF($A203="","",E202)</f>
        <v/>
      </c>
      <c r="D203">
        <f>IF($A203="","",IF(AND(B203&lt;=$B$1,C203&lt;Inputs!$B$4),MIN(Inputs!$B$3*Inputs!$B$9*Inputs!$B$6,Inputs!$B$4-C203),IF(AND(B203&gt;=$B$2,C203&gt;0),-MIN(Inputs!$B$3*Inputs!$B$9,C203),0)))</f>
        <v/>
      </c>
      <c r="E203">
        <f>IF($A203="","",C203+D203)</f>
        <v/>
      </c>
      <c r="F203">
        <f>IF($A203="","",IF(D203&gt;0,-D203/Inputs!$B$6,-D203))</f>
        <v/>
      </c>
      <c r="G203">
        <f>IF($A203="","",F203/Inputs!$B$9)</f>
        <v/>
      </c>
      <c r="H203">
        <f>IF($A203="","",B203*F203)</f>
        <v/>
      </c>
      <c r="I203">
        <f>IF($A203="","",I202+H203)</f>
        <v/>
      </c>
    </row>
    <row r="204">
      <c r="A204">
        <f>IF(Inputs!$A211="","",Inputs!$A211)</f>
        <v/>
      </c>
      <c r="B204">
        <f>IF($A204="","",Inputs!$B211)</f>
        <v/>
      </c>
      <c r="C204">
        <f>IF($A204="","",E203)</f>
        <v/>
      </c>
      <c r="D204">
        <f>IF($A204="","",IF(AND(B204&lt;=$B$1,C204&lt;Inputs!$B$4),MIN(Inputs!$B$3*Inputs!$B$9*Inputs!$B$6,Inputs!$B$4-C204),IF(AND(B204&gt;=$B$2,C204&gt;0),-MIN(Inputs!$B$3*Inputs!$B$9,C204),0)))</f>
        <v/>
      </c>
      <c r="E204">
        <f>IF($A204="","",C204+D204)</f>
        <v/>
      </c>
      <c r="F204">
        <f>IF($A204="","",IF(D204&gt;0,-D204/Inputs!$B$6,-D204))</f>
        <v/>
      </c>
      <c r="G204">
        <f>IF($A204="","",F204/Inputs!$B$9)</f>
        <v/>
      </c>
      <c r="H204">
        <f>IF($A204="","",B204*F204)</f>
        <v/>
      </c>
      <c r="I204">
        <f>IF($A204="","",I203+H204)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forecast_datetime</t>
        </is>
      </c>
      <c r="B1" s="1" t="inlineStr">
        <is>
          <t>price</t>
        </is>
      </c>
      <c r="C1" s="1" t="inlineStr">
        <is>
          <t>power_mw</t>
        </is>
      </c>
      <c r="D1" s="1" t="inlineStr">
        <is>
          <t>soc_mwh</t>
        </is>
      </c>
      <c r="E1" s="1" t="inlineStr">
        <is>
          <t>revenue</t>
        </is>
      </c>
      <c r="F1" s="1" t="inlineStr">
        <is>
          <t>cumulative_revenue</t>
        </is>
      </c>
    </row>
    <row r="2">
      <c r="A2">
        <f>IF(Calc!$A5="","",Calc!$A5)</f>
        <v/>
      </c>
      <c r="B2">
        <f>IF(Calc!$A5="","",Calc!B5)</f>
        <v/>
      </c>
      <c r="C2">
        <f>IF(Calc!$A5="","",Calc!G5)</f>
        <v/>
      </c>
      <c r="D2">
        <f>IF(Calc!$A5="","",Calc!E5)</f>
        <v/>
      </c>
      <c r="E2">
        <f>IF(Calc!$A5="","",Calc!H5)</f>
        <v/>
      </c>
      <c r="F2">
        <f>IF(Calc!$A5="","",Calc!I5)</f>
        <v/>
      </c>
    </row>
    <row r="3">
      <c r="A3">
        <f>IF(Calc!$A6="","",Calc!$A6)</f>
        <v/>
      </c>
      <c r="B3">
        <f>IF(Calc!$A6="","",Calc!B6)</f>
        <v/>
      </c>
      <c r="C3">
        <f>IF(Calc!$A6="","",Calc!G6)</f>
        <v/>
      </c>
      <c r="D3">
        <f>IF(Calc!$A6="","",Calc!E6)</f>
        <v/>
      </c>
      <c r="E3">
        <f>IF(Calc!$A6="","",Calc!H6)</f>
        <v/>
      </c>
      <c r="F3">
        <f>IF(Calc!$A6="","",Calc!I6)</f>
        <v/>
      </c>
    </row>
    <row r="4">
      <c r="A4">
        <f>IF(Calc!$A7="","",Calc!$A7)</f>
        <v/>
      </c>
      <c r="B4">
        <f>IF(Calc!$A7="","",Calc!B7)</f>
        <v/>
      </c>
      <c r="C4">
        <f>IF(Calc!$A7="","",Calc!G7)</f>
        <v/>
      </c>
      <c r="D4">
        <f>IF(Calc!$A7="","",Calc!E7)</f>
        <v/>
      </c>
      <c r="E4">
        <f>IF(Calc!$A7="","",Calc!H7)</f>
        <v/>
      </c>
      <c r="F4">
        <f>IF(Calc!$A7="","",Calc!I7)</f>
        <v/>
      </c>
    </row>
    <row r="5">
      <c r="A5">
        <f>IF(Calc!$A8="","",Calc!$A8)</f>
        <v/>
      </c>
      <c r="B5">
        <f>IF(Calc!$A8="","",Calc!B8)</f>
        <v/>
      </c>
      <c r="C5">
        <f>IF(Calc!$A8="","",Calc!G8)</f>
        <v/>
      </c>
      <c r="D5">
        <f>IF(Calc!$A8="","",Calc!E8)</f>
        <v/>
      </c>
      <c r="E5">
        <f>IF(Calc!$A8="","",Calc!H8)</f>
        <v/>
      </c>
      <c r="F5">
        <f>IF(Calc!$A8="","",Calc!I8)</f>
        <v/>
      </c>
    </row>
    <row r="6">
      <c r="A6">
        <f>IF(Calc!$A9="","",Calc!$A9)</f>
        <v/>
      </c>
      <c r="B6">
        <f>IF(Calc!$A9="","",Calc!B9)</f>
        <v/>
      </c>
      <c r="C6">
        <f>IF(Calc!$A9="","",Calc!G9)</f>
        <v/>
      </c>
      <c r="D6">
        <f>IF(Calc!$A9="","",Calc!E9)</f>
        <v/>
      </c>
      <c r="E6">
        <f>IF(Calc!$A9="","",Calc!H9)</f>
        <v/>
      </c>
      <c r="F6">
        <f>IF(Calc!$A9="","",Calc!I9)</f>
        <v/>
      </c>
    </row>
    <row r="7">
      <c r="A7">
        <f>IF(Calc!$A10="","",Calc!$A10)</f>
        <v/>
      </c>
      <c r="B7">
        <f>IF(Calc!$A10="","",Calc!B10)</f>
        <v/>
      </c>
      <c r="C7">
        <f>IF(Calc!$A10="","",Calc!G10)</f>
        <v/>
      </c>
      <c r="D7">
        <f>IF(Calc!$A10="","",Calc!E10)</f>
        <v/>
      </c>
      <c r="E7">
        <f>IF(Calc!$A10="","",Calc!H10)</f>
        <v/>
      </c>
      <c r="F7">
        <f>IF(Calc!$A10="","",Calc!I10)</f>
        <v/>
      </c>
    </row>
    <row r="8">
      <c r="A8">
        <f>IF(Calc!$A11="","",Calc!$A11)</f>
        <v/>
      </c>
      <c r="B8">
        <f>IF(Calc!$A11="","",Calc!B11)</f>
        <v/>
      </c>
      <c r="C8">
        <f>IF(Calc!$A11="","",Calc!G11)</f>
        <v/>
      </c>
      <c r="D8">
        <f>IF(Calc!$A11="","",Calc!E11)</f>
        <v/>
      </c>
      <c r="E8">
        <f>IF(Calc!$A11="","",Calc!H11)</f>
        <v/>
      </c>
      <c r="F8">
        <f>IF(Calc!$A11="","",Calc!I11)</f>
        <v/>
      </c>
    </row>
    <row r="9">
      <c r="A9">
        <f>IF(Calc!$A12="","",Calc!$A12)</f>
        <v/>
      </c>
      <c r="B9">
        <f>IF(Calc!$A12="","",Calc!B12)</f>
        <v/>
      </c>
      <c r="C9">
        <f>IF(Calc!$A12="","",Calc!G12)</f>
        <v/>
      </c>
      <c r="D9">
        <f>IF(Calc!$A12="","",Calc!E12)</f>
        <v/>
      </c>
      <c r="E9">
        <f>IF(Calc!$A12="","",Calc!H12)</f>
        <v/>
      </c>
      <c r="F9">
        <f>IF(Calc!$A12="","",Calc!I12)</f>
        <v/>
      </c>
    </row>
    <row r="10">
      <c r="A10">
        <f>IF(Calc!$A13="","",Calc!$A13)</f>
        <v/>
      </c>
      <c r="B10">
        <f>IF(Calc!$A13="","",Calc!B13)</f>
        <v/>
      </c>
      <c r="C10">
        <f>IF(Calc!$A13="","",Calc!G13)</f>
        <v/>
      </c>
      <c r="D10">
        <f>IF(Calc!$A13="","",Calc!E13)</f>
        <v/>
      </c>
      <c r="E10">
        <f>IF(Calc!$A13="","",Calc!H13)</f>
        <v/>
      </c>
      <c r="F10">
        <f>IF(Calc!$A13="","",Calc!I13)</f>
        <v/>
      </c>
    </row>
    <row r="11">
      <c r="A11">
        <f>IF(Calc!$A14="","",Calc!$A14)</f>
        <v/>
      </c>
      <c r="B11">
        <f>IF(Calc!$A14="","",Calc!B14)</f>
        <v/>
      </c>
      <c r="C11">
        <f>IF(Calc!$A14="","",Calc!G14)</f>
        <v/>
      </c>
      <c r="D11">
        <f>IF(Calc!$A14="","",Calc!E14)</f>
        <v/>
      </c>
      <c r="E11">
        <f>IF(Calc!$A14="","",Calc!H14)</f>
        <v/>
      </c>
      <c r="F11">
        <f>IF(Calc!$A14="","",Calc!I14)</f>
        <v/>
      </c>
    </row>
    <row r="12">
      <c r="A12">
        <f>IF(Calc!$A15="","",Calc!$A15)</f>
        <v/>
      </c>
      <c r="B12">
        <f>IF(Calc!$A15="","",Calc!B15)</f>
        <v/>
      </c>
      <c r="C12">
        <f>IF(Calc!$A15="","",Calc!G15)</f>
        <v/>
      </c>
      <c r="D12">
        <f>IF(Calc!$A15="","",Calc!E15)</f>
        <v/>
      </c>
      <c r="E12">
        <f>IF(Calc!$A15="","",Calc!H15)</f>
        <v/>
      </c>
      <c r="F12">
        <f>IF(Calc!$A15="","",Calc!I15)</f>
        <v/>
      </c>
    </row>
    <row r="13">
      <c r="A13">
        <f>IF(Calc!$A16="","",Calc!$A16)</f>
        <v/>
      </c>
      <c r="B13">
        <f>IF(Calc!$A16="","",Calc!B16)</f>
        <v/>
      </c>
      <c r="C13">
        <f>IF(Calc!$A16="","",Calc!G16)</f>
        <v/>
      </c>
      <c r="D13">
        <f>IF(Calc!$A16="","",Calc!E16)</f>
        <v/>
      </c>
      <c r="E13">
        <f>IF(Calc!$A16="","",Calc!H16)</f>
        <v/>
      </c>
      <c r="F13">
        <f>IF(Calc!$A16="","",Calc!I16)</f>
        <v/>
      </c>
    </row>
    <row r="14">
      <c r="A14">
        <f>IF(Calc!$A17="","",Calc!$A17)</f>
        <v/>
      </c>
      <c r="B14">
        <f>IF(Calc!$A17="","",Calc!B17)</f>
        <v/>
      </c>
      <c r="C14">
        <f>IF(Calc!$A17="","",Calc!G17)</f>
        <v/>
      </c>
      <c r="D14">
        <f>IF(Calc!$A17="","",Calc!E17)</f>
        <v/>
      </c>
      <c r="E14">
        <f>IF(Calc!$A17="","",Calc!H17)</f>
        <v/>
      </c>
      <c r="F14">
        <f>IF(Calc!$A17="","",Calc!I17)</f>
        <v/>
      </c>
    </row>
    <row r="15">
      <c r="A15">
        <f>IF(Calc!$A18="","",Calc!$A18)</f>
        <v/>
      </c>
      <c r="B15">
        <f>IF(Calc!$A18="","",Calc!B18)</f>
        <v/>
      </c>
      <c r="C15">
        <f>IF(Calc!$A18="","",Calc!G18)</f>
        <v/>
      </c>
      <c r="D15">
        <f>IF(Calc!$A18="","",Calc!E18)</f>
        <v/>
      </c>
      <c r="E15">
        <f>IF(Calc!$A18="","",Calc!H18)</f>
        <v/>
      </c>
      <c r="F15">
        <f>IF(Calc!$A18="","",Calc!I18)</f>
        <v/>
      </c>
    </row>
    <row r="16">
      <c r="A16">
        <f>IF(Calc!$A19="","",Calc!$A19)</f>
        <v/>
      </c>
      <c r="B16">
        <f>IF(Calc!$A19="","",Calc!B19)</f>
        <v/>
      </c>
      <c r="C16">
        <f>IF(Calc!$A19="","",Calc!G19)</f>
        <v/>
      </c>
      <c r="D16">
        <f>IF(Calc!$A19="","",Calc!E19)</f>
        <v/>
      </c>
      <c r="E16">
        <f>IF(Calc!$A19="","",Calc!H19)</f>
        <v/>
      </c>
      <c r="F16">
        <f>IF(Calc!$A19="","",Calc!I19)</f>
        <v/>
      </c>
    </row>
    <row r="17">
      <c r="A17">
        <f>IF(Calc!$A20="","",Calc!$A20)</f>
        <v/>
      </c>
      <c r="B17">
        <f>IF(Calc!$A20="","",Calc!B20)</f>
        <v/>
      </c>
      <c r="C17">
        <f>IF(Calc!$A20="","",Calc!G20)</f>
        <v/>
      </c>
      <c r="D17">
        <f>IF(Calc!$A20="","",Calc!E20)</f>
        <v/>
      </c>
      <c r="E17">
        <f>IF(Calc!$A20="","",Calc!H20)</f>
        <v/>
      </c>
      <c r="F17">
        <f>IF(Calc!$A20="","",Calc!I20)</f>
        <v/>
      </c>
    </row>
    <row r="18">
      <c r="A18">
        <f>IF(Calc!$A21="","",Calc!$A21)</f>
        <v/>
      </c>
      <c r="B18">
        <f>IF(Calc!$A21="","",Calc!B21)</f>
        <v/>
      </c>
      <c r="C18">
        <f>IF(Calc!$A21="","",Calc!G21)</f>
        <v/>
      </c>
      <c r="D18">
        <f>IF(Calc!$A21="","",Calc!E21)</f>
        <v/>
      </c>
      <c r="E18">
        <f>IF(Calc!$A21="","",Calc!H21)</f>
        <v/>
      </c>
      <c r="F18">
        <f>IF(Calc!$A21="","",Calc!I21)</f>
        <v/>
      </c>
    </row>
    <row r="19">
      <c r="A19">
        <f>IF(Calc!$A22="","",Calc!$A22)</f>
        <v/>
      </c>
      <c r="B19">
        <f>IF(Calc!$A22="","",Calc!B22)</f>
        <v/>
      </c>
      <c r="C19">
        <f>IF(Calc!$A22="","",Calc!G22)</f>
        <v/>
      </c>
      <c r="D19">
        <f>IF(Calc!$A22="","",Calc!E22)</f>
        <v/>
      </c>
      <c r="E19">
        <f>IF(Calc!$A22="","",Calc!H22)</f>
        <v/>
      </c>
      <c r="F19">
        <f>IF(Calc!$A22="","",Calc!I22)</f>
        <v/>
      </c>
    </row>
    <row r="20">
      <c r="A20">
        <f>IF(Calc!$A23="","",Calc!$A23)</f>
        <v/>
      </c>
      <c r="B20">
        <f>IF(Calc!$A23="","",Calc!B23)</f>
        <v/>
      </c>
      <c r="C20">
        <f>IF(Calc!$A23="","",Calc!G23)</f>
        <v/>
      </c>
      <c r="D20">
        <f>IF(Calc!$A23="","",Calc!E23)</f>
        <v/>
      </c>
      <c r="E20">
        <f>IF(Calc!$A23="","",Calc!H23)</f>
        <v/>
      </c>
      <c r="F20">
        <f>IF(Calc!$A23="","",Calc!I23)</f>
        <v/>
      </c>
    </row>
    <row r="21">
      <c r="A21">
        <f>IF(Calc!$A24="","",Calc!$A24)</f>
        <v/>
      </c>
      <c r="B21">
        <f>IF(Calc!$A24="","",Calc!B24)</f>
        <v/>
      </c>
      <c r="C21">
        <f>IF(Calc!$A24="","",Calc!G24)</f>
        <v/>
      </c>
      <c r="D21">
        <f>IF(Calc!$A24="","",Calc!E24)</f>
        <v/>
      </c>
      <c r="E21">
        <f>IF(Calc!$A24="","",Calc!H24)</f>
        <v/>
      </c>
      <c r="F21">
        <f>IF(Calc!$A24="","",Calc!I24)</f>
        <v/>
      </c>
    </row>
    <row r="22">
      <c r="A22">
        <f>IF(Calc!$A25="","",Calc!$A25)</f>
        <v/>
      </c>
      <c r="B22">
        <f>IF(Calc!$A25="","",Calc!B25)</f>
        <v/>
      </c>
      <c r="C22">
        <f>IF(Calc!$A25="","",Calc!G25)</f>
        <v/>
      </c>
      <c r="D22">
        <f>IF(Calc!$A25="","",Calc!E25)</f>
        <v/>
      </c>
      <c r="E22">
        <f>IF(Calc!$A25="","",Calc!H25)</f>
        <v/>
      </c>
      <c r="F22">
        <f>IF(Calc!$A25="","",Calc!I25)</f>
        <v/>
      </c>
    </row>
    <row r="23">
      <c r="A23">
        <f>IF(Calc!$A26="","",Calc!$A26)</f>
        <v/>
      </c>
      <c r="B23">
        <f>IF(Calc!$A26="","",Calc!B26)</f>
        <v/>
      </c>
      <c r="C23">
        <f>IF(Calc!$A26="","",Calc!G26)</f>
        <v/>
      </c>
      <c r="D23">
        <f>IF(Calc!$A26="","",Calc!E26)</f>
        <v/>
      </c>
      <c r="E23">
        <f>IF(Calc!$A26="","",Calc!H26)</f>
        <v/>
      </c>
      <c r="F23">
        <f>IF(Calc!$A26="","",Calc!I26)</f>
        <v/>
      </c>
    </row>
    <row r="24">
      <c r="A24">
        <f>IF(Calc!$A27="","",Calc!$A27)</f>
        <v/>
      </c>
      <c r="B24">
        <f>IF(Calc!$A27="","",Calc!B27)</f>
        <v/>
      </c>
      <c r="C24">
        <f>IF(Calc!$A27="","",Calc!G27)</f>
        <v/>
      </c>
      <c r="D24">
        <f>IF(Calc!$A27="","",Calc!E27)</f>
        <v/>
      </c>
      <c r="E24">
        <f>IF(Calc!$A27="","",Calc!H27)</f>
        <v/>
      </c>
      <c r="F24">
        <f>IF(Calc!$A27="","",Calc!I27)</f>
        <v/>
      </c>
    </row>
    <row r="25">
      <c r="A25">
        <f>IF(Calc!$A28="","",Calc!$A28)</f>
        <v/>
      </c>
      <c r="B25">
        <f>IF(Calc!$A28="","",Calc!B28)</f>
        <v/>
      </c>
      <c r="C25">
        <f>IF(Calc!$A28="","",Calc!G28)</f>
        <v/>
      </c>
      <c r="D25">
        <f>IF(Calc!$A28="","",Calc!E28)</f>
        <v/>
      </c>
      <c r="E25">
        <f>IF(Calc!$A28="","",Calc!H28)</f>
        <v/>
      </c>
      <c r="F25">
        <f>IF(Calc!$A28="","",Calc!I28)</f>
        <v/>
      </c>
    </row>
    <row r="26">
      <c r="A26">
        <f>IF(Calc!$A29="","",Calc!$A29)</f>
        <v/>
      </c>
      <c r="B26">
        <f>IF(Calc!$A29="","",Calc!B29)</f>
        <v/>
      </c>
      <c r="C26">
        <f>IF(Calc!$A29="","",Calc!G29)</f>
        <v/>
      </c>
      <c r="D26">
        <f>IF(Calc!$A29="","",Calc!E29)</f>
        <v/>
      </c>
      <c r="E26">
        <f>IF(Calc!$A29="","",Calc!H29)</f>
        <v/>
      </c>
      <c r="F26">
        <f>IF(Calc!$A29="","",Calc!I29)</f>
        <v/>
      </c>
    </row>
    <row r="27">
      <c r="A27">
        <f>IF(Calc!$A30="","",Calc!$A30)</f>
        <v/>
      </c>
      <c r="B27">
        <f>IF(Calc!$A30="","",Calc!B30)</f>
        <v/>
      </c>
      <c r="C27">
        <f>IF(Calc!$A30="","",Calc!G30)</f>
        <v/>
      </c>
      <c r="D27">
        <f>IF(Calc!$A30="","",Calc!E30)</f>
        <v/>
      </c>
      <c r="E27">
        <f>IF(Calc!$A30="","",Calc!H30)</f>
        <v/>
      </c>
      <c r="F27">
        <f>IF(Calc!$A30="","",Calc!I30)</f>
        <v/>
      </c>
    </row>
    <row r="28">
      <c r="A28">
        <f>IF(Calc!$A31="","",Calc!$A31)</f>
        <v/>
      </c>
      <c r="B28">
        <f>IF(Calc!$A31="","",Calc!B31)</f>
        <v/>
      </c>
      <c r="C28">
        <f>IF(Calc!$A31="","",Calc!G31)</f>
        <v/>
      </c>
      <c r="D28">
        <f>IF(Calc!$A31="","",Calc!E31)</f>
        <v/>
      </c>
      <c r="E28">
        <f>IF(Calc!$A31="","",Calc!H31)</f>
        <v/>
      </c>
      <c r="F28">
        <f>IF(Calc!$A31="","",Calc!I31)</f>
        <v/>
      </c>
    </row>
    <row r="29">
      <c r="A29">
        <f>IF(Calc!$A32="","",Calc!$A32)</f>
        <v/>
      </c>
      <c r="B29">
        <f>IF(Calc!$A32="","",Calc!B32)</f>
        <v/>
      </c>
      <c r="C29">
        <f>IF(Calc!$A32="","",Calc!G32)</f>
        <v/>
      </c>
      <c r="D29">
        <f>IF(Calc!$A32="","",Calc!E32)</f>
        <v/>
      </c>
      <c r="E29">
        <f>IF(Calc!$A32="","",Calc!H32)</f>
        <v/>
      </c>
      <c r="F29">
        <f>IF(Calc!$A32="","",Calc!I32)</f>
        <v/>
      </c>
    </row>
    <row r="30">
      <c r="A30">
        <f>IF(Calc!$A33="","",Calc!$A33)</f>
        <v/>
      </c>
      <c r="B30">
        <f>IF(Calc!$A33="","",Calc!B33)</f>
        <v/>
      </c>
      <c r="C30">
        <f>IF(Calc!$A33="","",Calc!G33)</f>
        <v/>
      </c>
      <c r="D30">
        <f>IF(Calc!$A33="","",Calc!E33)</f>
        <v/>
      </c>
      <c r="E30">
        <f>IF(Calc!$A33="","",Calc!H33)</f>
        <v/>
      </c>
      <c r="F30">
        <f>IF(Calc!$A33="","",Calc!I33)</f>
        <v/>
      </c>
    </row>
    <row r="31">
      <c r="A31">
        <f>IF(Calc!$A34="","",Calc!$A34)</f>
        <v/>
      </c>
      <c r="B31">
        <f>IF(Calc!$A34="","",Calc!B34)</f>
        <v/>
      </c>
      <c r="C31">
        <f>IF(Calc!$A34="","",Calc!G34)</f>
        <v/>
      </c>
      <c r="D31">
        <f>IF(Calc!$A34="","",Calc!E34)</f>
        <v/>
      </c>
      <c r="E31">
        <f>IF(Calc!$A34="","",Calc!H34)</f>
        <v/>
      </c>
      <c r="F31">
        <f>IF(Calc!$A34="","",Calc!I34)</f>
        <v/>
      </c>
    </row>
    <row r="32">
      <c r="A32">
        <f>IF(Calc!$A35="","",Calc!$A35)</f>
        <v/>
      </c>
      <c r="B32">
        <f>IF(Calc!$A35="","",Calc!B35)</f>
        <v/>
      </c>
      <c r="C32">
        <f>IF(Calc!$A35="","",Calc!G35)</f>
        <v/>
      </c>
      <c r="D32">
        <f>IF(Calc!$A35="","",Calc!E35)</f>
        <v/>
      </c>
      <c r="E32">
        <f>IF(Calc!$A35="","",Calc!H35)</f>
        <v/>
      </c>
      <c r="F32">
        <f>IF(Calc!$A35="","",Calc!I35)</f>
        <v/>
      </c>
    </row>
    <row r="33">
      <c r="A33">
        <f>IF(Calc!$A36="","",Calc!$A36)</f>
        <v/>
      </c>
      <c r="B33">
        <f>IF(Calc!$A36="","",Calc!B36)</f>
        <v/>
      </c>
      <c r="C33">
        <f>IF(Calc!$A36="","",Calc!G36)</f>
        <v/>
      </c>
      <c r="D33">
        <f>IF(Calc!$A36="","",Calc!E36)</f>
        <v/>
      </c>
      <c r="E33">
        <f>IF(Calc!$A36="","",Calc!H36)</f>
        <v/>
      </c>
      <c r="F33">
        <f>IF(Calc!$A36="","",Calc!I36)</f>
        <v/>
      </c>
    </row>
    <row r="34">
      <c r="A34">
        <f>IF(Calc!$A37="","",Calc!$A37)</f>
        <v/>
      </c>
      <c r="B34">
        <f>IF(Calc!$A37="","",Calc!B37)</f>
        <v/>
      </c>
      <c r="C34">
        <f>IF(Calc!$A37="","",Calc!G37)</f>
        <v/>
      </c>
      <c r="D34">
        <f>IF(Calc!$A37="","",Calc!E37)</f>
        <v/>
      </c>
      <c r="E34">
        <f>IF(Calc!$A37="","",Calc!H37)</f>
        <v/>
      </c>
      <c r="F34">
        <f>IF(Calc!$A37="","",Calc!I37)</f>
        <v/>
      </c>
    </row>
    <row r="35">
      <c r="A35">
        <f>IF(Calc!$A38="","",Calc!$A38)</f>
        <v/>
      </c>
      <c r="B35">
        <f>IF(Calc!$A38="","",Calc!B38)</f>
        <v/>
      </c>
      <c r="C35">
        <f>IF(Calc!$A38="","",Calc!G38)</f>
        <v/>
      </c>
      <c r="D35">
        <f>IF(Calc!$A38="","",Calc!E38)</f>
        <v/>
      </c>
      <c r="E35">
        <f>IF(Calc!$A38="","",Calc!H38)</f>
        <v/>
      </c>
      <c r="F35">
        <f>IF(Calc!$A38="","",Calc!I38)</f>
        <v/>
      </c>
    </row>
    <row r="36">
      <c r="A36">
        <f>IF(Calc!$A39="","",Calc!$A39)</f>
        <v/>
      </c>
      <c r="B36">
        <f>IF(Calc!$A39="","",Calc!B39)</f>
        <v/>
      </c>
      <c r="C36">
        <f>IF(Calc!$A39="","",Calc!G39)</f>
        <v/>
      </c>
      <c r="D36">
        <f>IF(Calc!$A39="","",Calc!E39)</f>
        <v/>
      </c>
      <c r="E36">
        <f>IF(Calc!$A39="","",Calc!H39)</f>
        <v/>
      </c>
      <c r="F36">
        <f>IF(Calc!$A39="","",Calc!I39)</f>
        <v/>
      </c>
    </row>
    <row r="37">
      <c r="A37">
        <f>IF(Calc!$A40="","",Calc!$A40)</f>
        <v/>
      </c>
      <c r="B37">
        <f>IF(Calc!$A40="","",Calc!B40)</f>
        <v/>
      </c>
      <c r="C37">
        <f>IF(Calc!$A40="","",Calc!G40)</f>
        <v/>
      </c>
      <c r="D37">
        <f>IF(Calc!$A40="","",Calc!E40)</f>
        <v/>
      </c>
      <c r="E37">
        <f>IF(Calc!$A40="","",Calc!H40)</f>
        <v/>
      </c>
      <c r="F37">
        <f>IF(Calc!$A40="","",Calc!I40)</f>
        <v/>
      </c>
    </row>
    <row r="38">
      <c r="A38">
        <f>IF(Calc!$A41="","",Calc!$A41)</f>
        <v/>
      </c>
      <c r="B38">
        <f>IF(Calc!$A41="","",Calc!B41)</f>
        <v/>
      </c>
      <c r="C38">
        <f>IF(Calc!$A41="","",Calc!G41)</f>
        <v/>
      </c>
      <c r="D38">
        <f>IF(Calc!$A41="","",Calc!E41)</f>
        <v/>
      </c>
      <c r="E38">
        <f>IF(Calc!$A41="","",Calc!H41)</f>
        <v/>
      </c>
      <c r="F38">
        <f>IF(Calc!$A41="","",Calc!I41)</f>
        <v/>
      </c>
    </row>
    <row r="39">
      <c r="A39">
        <f>IF(Calc!$A42="","",Calc!$A42)</f>
        <v/>
      </c>
      <c r="B39">
        <f>IF(Calc!$A42="","",Calc!B42)</f>
        <v/>
      </c>
      <c r="C39">
        <f>IF(Calc!$A42="","",Calc!G42)</f>
        <v/>
      </c>
      <c r="D39">
        <f>IF(Calc!$A42="","",Calc!E42)</f>
        <v/>
      </c>
      <c r="E39">
        <f>IF(Calc!$A42="","",Calc!H42)</f>
        <v/>
      </c>
      <c r="F39">
        <f>IF(Calc!$A42="","",Calc!I42)</f>
        <v/>
      </c>
    </row>
    <row r="40">
      <c r="A40">
        <f>IF(Calc!$A43="","",Calc!$A43)</f>
        <v/>
      </c>
      <c r="B40">
        <f>IF(Calc!$A43="","",Calc!B43)</f>
        <v/>
      </c>
      <c r="C40">
        <f>IF(Calc!$A43="","",Calc!G43)</f>
        <v/>
      </c>
      <c r="D40">
        <f>IF(Calc!$A43="","",Calc!E43)</f>
        <v/>
      </c>
      <c r="E40">
        <f>IF(Calc!$A43="","",Calc!H43)</f>
        <v/>
      </c>
      <c r="F40">
        <f>IF(Calc!$A43="","",Calc!I43)</f>
        <v/>
      </c>
    </row>
    <row r="41">
      <c r="A41">
        <f>IF(Calc!$A44="","",Calc!$A44)</f>
        <v/>
      </c>
      <c r="B41">
        <f>IF(Calc!$A44="","",Calc!B44)</f>
        <v/>
      </c>
      <c r="C41">
        <f>IF(Calc!$A44="","",Calc!G44)</f>
        <v/>
      </c>
      <c r="D41">
        <f>IF(Calc!$A44="","",Calc!E44)</f>
        <v/>
      </c>
      <c r="E41">
        <f>IF(Calc!$A44="","",Calc!H44)</f>
        <v/>
      </c>
      <c r="F41">
        <f>IF(Calc!$A44="","",Calc!I44)</f>
        <v/>
      </c>
    </row>
    <row r="42">
      <c r="A42">
        <f>IF(Calc!$A45="","",Calc!$A45)</f>
        <v/>
      </c>
      <c r="B42">
        <f>IF(Calc!$A45="","",Calc!B45)</f>
        <v/>
      </c>
      <c r="C42">
        <f>IF(Calc!$A45="","",Calc!G45)</f>
        <v/>
      </c>
      <c r="D42">
        <f>IF(Calc!$A45="","",Calc!E45)</f>
        <v/>
      </c>
      <c r="E42">
        <f>IF(Calc!$A45="","",Calc!H45)</f>
        <v/>
      </c>
      <c r="F42">
        <f>IF(Calc!$A45="","",Calc!I45)</f>
        <v/>
      </c>
    </row>
    <row r="43">
      <c r="A43">
        <f>IF(Calc!$A46="","",Calc!$A46)</f>
        <v/>
      </c>
      <c r="B43">
        <f>IF(Calc!$A46="","",Calc!B46)</f>
        <v/>
      </c>
      <c r="C43">
        <f>IF(Calc!$A46="","",Calc!G46)</f>
        <v/>
      </c>
      <c r="D43">
        <f>IF(Calc!$A46="","",Calc!E46)</f>
        <v/>
      </c>
      <c r="E43">
        <f>IF(Calc!$A46="","",Calc!H46)</f>
        <v/>
      </c>
      <c r="F43">
        <f>IF(Calc!$A46="","",Calc!I46)</f>
        <v/>
      </c>
    </row>
    <row r="44">
      <c r="A44">
        <f>IF(Calc!$A47="","",Calc!$A47)</f>
        <v/>
      </c>
      <c r="B44">
        <f>IF(Calc!$A47="","",Calc!B47)</f>
        <v/>
      </c>
      <c r="C44">
        <f>IF(Calc!$A47="","",Calc!G47)</f>
        <v/>
      </c>
      <c r="D44">
        <f>IF(Calc!$A47="","",Calc!E47)</f>
        <v/>
      </c>
      <c r="E44">
        <f>IF(Calc!$A47="","",Calc!H47)</f>
        <v/>
      </c>
      <c r="F44">
        <f>IF(Calc!$A47="","",Calc!I47)</f>
        <v/>
      </c>
    </row>
    <row r="45">
      <c r="A45">
        <f>IF(Calc!$A48="","",Calc!$A48)</f>
        <v/>
      </c>
      <c r="B45">
        <f>IF(Calc!$A48="","",Calc!B48)</f>
        <v/>
      </c>
      <c r="C45">
        <f>IF(Calc!$A48="","",Calc!G48)</f>
        <v/>
      </c>
      <c r="D45">
        <f>IF(Calc!$A48="","",Calc!E48)</f>
        <v/>
      </c>
      <c r="E45">
        <f>IF(Calc!$A48="","",Calc!H48)</f>
        <v/>
      </c>
      <c r="F45">
        <f>IF(Calc!$A48="","",Calc!I48)</f>
        <v/>
      </c>
    </row>
    <row r="46">
      <c r="A46">
        <f>IF(Calc!$A49="","",Calc!$A49)</f>
        <v/>
      </c>
      <c r="B46">
        <f>IF(Calc!$A49="","",Calc!B49)</f>
        <v/>
      </c>
      <c r="C46">
        <f>IF(Calc!$A49="","",Calc!G49)</f>
        <v/>
      </c>
      <c r="D46">
        <f>IF(Calc!$A49="","",Calc!E49)</f>
        <v/>
      </c>
      <c r="E46">
        <f>IF(Calc!$A49="","",Calc!H49)</f>
        <v/>
      </c>
      <c r="F46">
        <f>IF(Calc!$A49="","",Calc!I49)</f>
        <v/>
      </c>
    </row>
    <row r="47">
      <c r="A47">
        <f>IF(Calc!$A50="","",Calc!$A50)</f>
        <v/>
      </c>
      <c r="B47">
        <f>IF(Calc!$A50="","",Calc!B50)</f>
        <v/>
      </c>
      <c r="C47">
        <f>IF(Calc!$A50="","",Calc!G50)</f>
        <v/>
      </c>
      <c r="D47">
        <f>IF(Calc!$A50="","",Calc!E50)</f>
        <v/>
      </c>
      <c r="E47">
        <f>IF(Calc!$A50="","",Calc!H50)</f>
        <v/>
      </c>
      <c r="F47">
        <f>IF(Calc!$A50="","",Calc!I50)</f>
        <v/>
      </c>
    </row>
    <row r="48">
      <c r="A48">
        <f>IF(Calc!$A51="","",Calc!$A51)</f>
        <v/>
      </c>
      <c r="B48">
        <f>IF(Calc!$A51="","",Calc!B51)</f>
        <v/>
      </c>
      <c r="C48">
        <f>IF(Calc!$A51="","",Calc!G51)</f>
        <v/>
      </c>
      <c r="D48">
        <f>IF(Calc!$A51="","",Calc!E51)</f>
        <v/>
      </c>
      <c r="E48">
        <f>IF(Calc!$A51="","",Calc!H51)</f>
        <v/>
      </c>
      <c r="F48">
        <f>IF(Calc!$A51="","",Calc!I51)</f>
        <v/>
      </c>
    </row>
    <row r="49">
      <c r="A49">
        <f>IF(Calc!$A52="","",Calc!$A52)</f>
        <v/>
      </c>
      <c r="B49">
        <f>IF(Calc!$A52="","",Calc!B52)</f>
        <v/>
      </c>
      <c r="C49">
        <f>IF(Calc!$A52="","",Calc!G52)</f>
        <v/>
      </c>
      <c r="D49">
        <f>IF(Calc!$A52="","",Calc!E52)</f>
        <v/>
      </c>
      <c r="E49">
        <f>IF(Calc!$A52="","",Calc!H52)</f>
        <v/>
      </c>
      <c r="F49">
        <f>IF(Calc!$A52="","",Calc!I52)</f>
        <v/>
      </c>
    </row>
    <row r="50">
      <c r="A50">
        <f>IF(Calc!$A53="","",Calc!$A53)</f>
        <v/>
      </c>
      <c r="B50">
        <f>IF(Calc!$A53="","",Calc!B53)</f>
        <v/>
      </c>
      <c r="C50">
        <f>IF(Calc!$A53="","",Calc!G53)</f>
        <v/>
      </c>
      <c r="D50">
        <f>IF(Calc!$A53="","",Calc!E53)</f>
        <v/>
      </c>
      <c r="E50">
        <f>IF(Calc!$A53="","",Calc!H53)</f>
        <v/>
      </c>
      <c r="F50">
        <f>IF(Calc!$A53="","",Calc!I53)</f>
        <v/>
      </c>
    </row>
    <row r="51">
      <c r="A51">
        <f>IF(Calc!$A54="","",Calc!$A54)</f>
        <v/>
      </c>
      <c r="B51">
        <f>IF(Calc!$A54="","",Calc!B54)</f>
        <v/>
      </c>
      <c r="C51">
        <f>IF(Calc!$A54="","",Calc!G54)</f>
        <v/>
      </c>
      <c r="D51">
        <f>IF(Calc!$A54="","",Calc!E54)</f>
        <v/>
      </c>
      <c r="E51">
        <f>IF(Calc!$A54="","",Calc!H54)</f>
        <v/>
      </c>
      <c r="F51">
        <f>IF(Calc!$A54="","",Calc!I54)</f>
        <v/>
      </c>
    </row>
    <row r="52">
      <c r="A52">
        <f>IF(Calc!$A55="","",Calc!$A55)</f>
        <v/>
      </c>
      <c r="B52">
        <f>IF(Calc!$A55="","",Calc!B55)</f>
        <v/>
      </c>
      <c r="C52">
        <f>IF(Calc!$A55="","",Calc!G55)</f>
        <v/>
      </c>
      <c r="D52">
        <f>IF(Calc!$A55="","",Calc!E55)</f>
        <v/>
      </c>
      <c r="E52">
        <f>IF(Calc!$A55="","",Calc!H55)</f>
        <v/>
      </c>
      <c r="F52">
        <f>IF(Calc!$A55="","",Calc!I55)</f>
        <v/>
      </c>
    </row>
    <row r="53">
      <c r="A53">
        <f>IF(Calc!$A56="","",Calc!$A56)</f>
        <v/>
      </c>
      <c r="B53">
        <f>IF(Calc!$A56="","",Calc!B56)</f>
        <v/>
      </c>
      <c r="C53">
        <f>IF(Calc!$A56="","",Calc!G56)</f>
        <v/>
      </c>
      <c r="D53">
        <f>IF(Calc!$A56="","",Calc!E56)</f>
        <v/>
      </c>
      <c r="E53">
        <f>IF(Calc!$A56="","",Calc!H56)</f>
        <v/>
      </c>
      <c r="F53">
        <f>IF(Calc!$A56="","",Calc!I56)</f>
        <v/>
      </c>
    </row>
    <row r="54">
      <c r="A54">
        <f>IF(Calc!$A57="","",Calc!$A57)</f>
        <v/>
      </c>
      <c r="B54">
        <f>IF(Calc!$A57="","",Calc!B57)</f>
        <v/>
      </c>
      <c r="C54">
        <f>IF(Calc!$A57="","",Calc!G57)</f>
        <v/>
      </c>
      <c r="D54">
        <f>IF(Calc!$A57="","",Calc!E57)</f>
        <v/>
      </c>
      <c r="E54">
        <f>IF(Calc!$A57="","",Calc!H57)</f>
        <v/>
      </c>
      <c r="F54">
        <f>IF(Calc!$A57="","",Calc!I57)</f>
        <v/>
      </c>
    </row>
    <row r="55">
      <c r="A55">
        <f>IF(Calc!$A58="","",Calc!$A58)</f>
        <v/>
      </c>
      <c r="B55">
        <f>IF(Calc!$A58="","",Calc!B58)</f>
        <v/>
      </c>
      <c r="C55">
        <f>IF(Calc!$A58="","",Calc!G58)</f>
        <v/>
      </c>
      <c r="D55">
        <f>IF(Calc!$A58="","",Calc!E58)</f>
        <v/>
      </c>
      <c r="E55">
        <f>IF(Calc!$A58="","",Calc!H58)</f>
        <v/>
      </c>
      <c r="F55">
        <f>IF(Calc!$A58="","",Calc!I58)</f>
        <v/>
      </c>
    </row>
    <row r="56">
      <c r="A56">
        <f>IF(Calc!$A59="","",Calc!$A59)</f>
        <v/>
      </c>
      <c r="B56">
        <f>IF(Calc!$A59="","",Calc!B59)</f>
        <v/>
      </c>
      <c r="C56">
        <f>IF(Calc!$A59="","",Calc!G59)</f>
        <v/>
      </c>
      <c r="D56">
        <f>IF(Calc!$A59="","",Calc!E59)</f>
        <v/>
      </c>
      <c r="E56">
        <f>IF(Calc!$A59="","",Calc!H59)</f>
        <v/>
      </c>
      <c r="F56">
        <f>IF(Calc!$A59="","",Calc!I59)</f>
        <v/>
      </c>
    </row>
    <row r="57">
      <c r="A57">
        <f>IF(Calc!$A60="","",Calc!$A60)</f>
        <v/>
      </c>
      <c r="B57">
        <f>IF(Calc!$A60="","",Calc!B60)</f>
        <v/>
      </c>
      <c r="C57">
        <f>IF(Calc!$A60="","",Calc!G60)</f>
        <v/>
      </c>
      <c r="D57">
        <f>IF(Calc!$A60="","",Calc!E60)</f>
        <v/>
      </c>
      <c r="E57">
        <f>IF(Calc!$A60="","",Calc!H60)</f>
        <v/>
      </c>
      <c r="F57">
        <f>IF(Calc!$A60="","",Calc!I60)</f>
        <v/>
      </c>
    </row>
    <row r="58">
      <c r="A58">
        <f>IF(Calc!$A61="","",Calc!$A61)</f>
        <v/>
      </c>
      <c r="B58">
        <f>IF(Calc!$A61="","",Calc!B61)</f>
        <v/>
      </c>
      <c r="C58">
        <f>IF(Calc!$A61="","",Calc!G61)</f>
        <v/>
      </c>
      <c r="D58">
        <f>IF(Calc!$A61="","",Calc!E61)</f>
        <v/>
      </c>
      <c r="E58">
        <f>IF(Calc!$A61="","",Calc!H61)</f>
        <v/>
      </c>
      <c r="F58">
        <f>IF(Calc!$A61="","",Calc!I61)</f>
        <v/>
      </c>
    </row>
    <row r="59">
      <c r="A59">
        <f>IF(Calc!$A62="","",Calc!$A62)</f>
        <v/>
      </c>
      <c r="B59">
        <f>IF(Calc!$A62="","",Calc!B62)</f>
        <v/>
      </c>
      <c r="C59">
        <f>IF(Calc!$A62="","",Calc!G62)</f>
        <v/>
      </c>
      <c r="D59">
        <f>IF(Calc!$A62="","",Calc!E62)</f>
        <v/>
      </c>
      <c r="E59">
        <f>IF(Calc!$A62="","",Calc!H62)</f>
        <v/>
      </c>
      <c r="F59">
        <f>IF(Calc!$A62="","",Calc!I62)</f>
        <v/>
      </c>
    </row>
    <row r="60">
      <c r="A60">
        <f>IF(Calc!$A63="","",Calc!$A63)</f>
        <v/>
      </c>
      <c r="B60">
        <f>IF(Calc!$A63="","",Calc!B63)</f>
        <v/>
      </c>
      <c r="C60">
        <f>IF(Calc!$A63="","",Calc!G63)</f>
        <v/>
      </c>
      <c r="D60">
        <f>IF(Calc!$A63="","",Calc!E63)</f>
        <v/>
      </c>
      <c r="E60">
        <f>IF(Calc!$A63="","",Calc!H63)</f>
        <v/>
      </c>
      <c r="F60">
        <f>IF(Calc!$A63="","",Calc!I63)</f>
        <v/>
      </c>
    </row>
    <row r="61">
      <c r="A61">
        <f>IF(Calc!$A64="","",Calc!$A64)</f>
        <v/>
      </c>
      <c r="B61">
        <f>IF(Calc!$A64="","",Calc!B64)</f>
        <v/>
      </c>
      <c r="C61">
        <f>IF(Calc!$A64="","",Calc!G64)</f>
        <v/>
      </c>
      <c r="D61">
        <f>IF(Calc!$A64="","",Calc!E64)</f>
        <v/>
      </c>
      <c r="E61">
        <f>IF(Calc!$A64="","",Calc!H64)</f>
        <v/>
      </c>
      <c r="F61">
        <f>IF(Calc!$A64="","",Calc!I64)</f>
        <v/>
      </c>
    </row>
    <row r="62">
      <c r="A62">
        <f>IF(Calc!$A65="","",Calc!$A65)</f>
        <v/>
      </c>
      <c r="B62">
        <f>IF(Calc!$A65="","",Calc!B65)</f>
        <v/>
      </c>
      <c r="C62">
        <f>IF(Calc!$A65="","",Calc!G65)</f>
        <v/>
      </c>
      <c r="D62">
        <f>IF(Calc!$A65="","",Calc!E65)</f>
        <v/>
      </c>
      <c r="E62">
        <f>IF(Calc!$A65="","",Calc!H65)</f>
        <v/>
      </c>
      <c r="F62">
        <f>IF(Calc!$A65="","",Calc!I65)</f>
        <v/>
      </c>
    </row>
    <row r="63">
      <c r="A63">
        <f>IF(Calc!$A66="","",Calc!$A66)</f>
        <v/>
      </c>
      <c r="B63">
        <f>IF(Calc!$A66="","",Calc!B66)</f>
        <v/>
      </c>
      <c r="C63">
        <f>IF(Calc!$A66="","",Calc!G66)</f>
        <v/>
      </c>
      <c r="D63">
        <f>IF(Calc!$A66="","",Calc!E66)</f>
        <v/>
      </c>
      <c r="E63">
        <f>IF(Calc!$A66="","",Calc!H66)</f>
        <v/>
      </c>
      <c r="F63">
        <f>IF(Calc!$A66="","",Calc!I66)</f>
        <v/>
      </c>
    </row>
    <row r="64">
      <c r="A64">
        <f>IF(Calc!$A67="","",Calc!$A67)</f>
        <v/>
      </c>
      <c r="B64">
        <f>IF(Calc!$A67="","",Calc!B67)</f>
        <v/>
      </c>
      <c r="C64">
        <f>IF(Calc!$A67="","",Calc!G67)</f>
        <v/>
      </c>
      <c r="D64">
        <f>IF(Calc!$A67="","",Calc!E67)</f>
        <v/>
      </c>
      <c r="E64">
        <f>IF(Calc!$A67="","",Calc!H67)</f>
        <v/>
      </c>
      <c r="F64">
        <f>IF(Calc!$A67="","",Calc!I67)</f>
        <v/>
      </c>
    </row>
    <row r="65">
      <c r="A65">
        <f>IF(Calc!$A68="","",Calc!$A68)</f>
        <v/>
      </c>
      <c r="B65">
        <f>IF(Calc!$A68="","",Calc!B68)</f>
        <v/>
      </c>
      <c r="C65">
        <f>IF(Calc!$A68="","",Calc!G68)</f>
        <v/>
      </c>
      <c r="D65">
        <f>IF(Calc!$A68="","",Calc!E68)</f>
        <v/>
      </c>
      <c r="E65">
        <f>IF(Calc!$A68="","",Calc!H68)</f>
        <v/>
      </c>
      <c r="F65">
        <f>IF(Calc!$A68="","",Calc!I68)</f>
        <v/>
      </c>
    </row>
    <row r="66">
      <c r="A66">
        <f>IF(Calc!$A69="","",Calc!$A69)</f>
        <v/>
      </c>
      <c r="B66">
        <f>IF(Calc!$A69="","",Calc!B69)</f>
        <v/>
      </c>
      <c r="C66">
        <f>IF(Calc!$A69="","",Calc!G69)</f>
        <v/>
      </c>
      <c r="D66">
        <f>IF(Calc!$A69="","",Calc!E69)</f>
        <v/>
      </c>
      <c r="E66">
        <f>IF(Calc!$A69="","",Calc!H69)</f>
        <v/>
      </c>
      <c r="F66">
        <f>IF(Calc!$A69="","",Calc!I69)</f>
        <v/>
      </c>
    </row>
    <row r="67">
      <c r="A67">
        <f>IF(Calc!$A70="","",Calc!$A70)</f>
        <v/>
      </c>
      <c r="B67">
        <f>IF(Calc!$A70="","",Calc!B70)</f>
        <v/>
      </c>
      <c r="C67">
        <f>IF(Calc!$A70="","",Calc!G70)</f>
        <v/>
      </c>
      <c r="D67">
        <f>IF(Calc!$A70="","",Calc!E70)</f>
        <v/>
      </c>
      <c r="E67">
        <f>IF(Calc!$A70="","",Calc!H70)</f>
        <v/>
      </c>
      <c r="F67">
        <f>IF(Calc!$A70="","",Calc!I70)</f>
        <v/>
      </c>
    </row>
    <row r="68">
      <c r="A68">
        <f>IF(Calc!$A71="","",Calc!$A71)</f>
        <v/>
      </c>
      <c r="B68">
        <f>IF(Calc!$A71="","",Calc!B71)</f>
        <v/>
      </c>
      <c r="C68">
        <f>IF(Calc!$A71="","",Calc!G71)</f>
        <v/>
      </c>
      <c r="D68">
        <f>IF(Calc!$A71="","",Calc!E71)</f>
        <v/>
      </c>
      <c r="E68">
        <f>IF(Calc!$A71="","",Calc!H71)</f>
        <v/>
      </c>
      <c r="F68">
        <f>IF(Calc!$A71="","",Calc!I71)</f>
        <v/>
      </c>
    </row>
    <row r="69">
      <c r="A69">
        <f>IF(Calc!$A72="","",Calc!$A72)</f>
        <v/>
      </c>
      <c r="B69">
        <f>IF(Calc!$A72="","",Calc!B72)</f>
        <v/>
      </c>
      <c r="C69">
        <f>IF(Calc!$A72="","",Calc!G72)</f>
        <v/>
      </c>
      <c r="D69">
        <f>IF(Calc!$A72="","",Calc!E72)</f>
        <v/>
      </c>
      <c r="E69">
        <f>IF(Calc!$A72="","",Calc!H72)</f>
        <v/>
      </c>
      <c r="F69">
        <f>IF(Calc!$A72="","",Calc!I72)</f>
        <v/>
      </c>
    </row>
    <row r="70">
      <c r="A70">
        <f>IF(Calc!$A73="","",Calc!$A73)</f>
        <v/>
      </c>
      <c r="B70">
        <f>IF(Calc!$A73="","",Calc!B73)</f>
        <v/>
      </c>
      <c r="C70">
        <f>IF(Calc!$A73="","",Calc!G73)</f>
        <v/>
      </c>
      <c r="D70">
        <f>IF(Calc!$A73="","",Calc!E73)</f>
        <v/>
      </c>
      <c r="E70">
        <f>IF(Calc!$A73="","",Calc!H73)</f>
        <v/>
      </c>
      <c r="F70">
        <f>IF(Calc!$A73="","",Calc!I73)</f>
        <v/>
      </c>
    </row>
    <row r="71">
      <c r="A71">
        <f>IF(Calc!$A74="","",Calc!$A74)</f>
        <v/>
      </c>
      <c r="B71">
        <f>IF(Calc!$A74="","",Calc!B74)</f>
        <v/>
      </c>
      <c r="C71">
        <f>IF(Calc!$A74="","",Calc!G74)</f>
        <v/>
      </c>
      <c r="D71">
        <f>IF(Calc!$A74="","",Calc!E74)</f>
        <v/>
      </c>
      <c r="E71">
        <f>IF(Calc!$A74="","",Calc!H74)</f>
        <v/>
      </c>
      <c r="F71">
        <f>IF(Calc!$A74="","",Calc!I74)</f>
        <v/>
      </c>
    </row>
    <row r="72">
      <c r="A72">
        <f>IF(Calc!$A75="","",Calc!$A75)</f>
        <v/>
      </c>
      <c r="B72">
        <f>IF(Calc!$A75="","",Calc!B75)</f>
        <v/>
      </c>
      <c r="C72">
        <f>IF(Calc!$A75="","",Calc!G75)</f>
        <v/>
      </c>
      <c r="D72">
        <f>IF(Calc!$A75="","",Calc!E75)</f>
        <v/>
      </c>
      <c r="E72">
        <f>IF(Calc!$A75="","",Calc!H75)</f>
        <v/>
      </c>
      <c r="F72">
        <f>IF(Calc!$A75="","",Calc!I75)</f>
        <v/>
      </c>
    </row>
    <row r="73">
      <c r="A73">
        <f>IF(Calc!$A76="","",Calc!$A76)</f>
        <v/>
      </c>
      <c r="B73">
        <f>IF(Calc!$A76="","",Calc!B76)</f>
        <v/>
      </c>
      <c r="C73">
        <f>IF(Calc!$A76="","",Calc!G76)</f>
        <v/>
      </c>
      <c r="D73">
        <f>IF(Calc!$A76="","",Calc!E76)</f>
        <v/>
      </c>
      <c r="E73">
        <f>IF(Calc!$A76="","",Calc!H76)</f>
        <v/>
      </c>
      <c r="F73">
        <f>IF(Calc!$A76="","",Calc!I76)</f>
        <v/>
      </c>
    </row>
    <row r="74">
      <c r="A74">
        <f>IF(Calc!$A77="","",Calc!$A77)</f>
        <v/>
      </c>
      <c r="B74">
        <f>IF(Calc!$A77="","",Calc!B77)</f>
        <v/>
      </c>
      <c r="C74">
        <f>IF(Calc!$A77="","",Calc!G77)</f>
        <v/>
      </c>
      <c r="D74">
        <f>IF(Calc!$A77="","",Calc!E77)</f>
        <v/>
      </c>
      <c r="E74">
        <f>IF(Calc!$A77="","",Calc!H77)</f>
        <v/>
      </c>
      <c r="F74">
        <f>IF(Calc!$A77="","",Calc!I77)</f>
        <v/>
      </c>
    </row>
    <row r="75">
      <c r="A75">
        <f>IF(Calc!$A78="","",Calc!$A78)</f>
        <v/>
      </c>
      <c r="B75">
        <f>IF(Calc!$A78="","",Calc!B78)</f>
        <v/>
      </c>
      <c r="C75">
        <f>IF(Calc!$A78="","",Calc!G78)</f>
        <v/>
      </c>
      <c r="D75">
        <f>IF(Calc!$A78="","",Calc!E78)</f>
        <v/>
      </c>
      <c r="E75">
        <f>IF(Calc!$A78="","",Calc!H78)</f>
        <v/>
      </c>
      <c r="F75">
        <f>IF(Calc!$A78="","",Calc!I78)</f>
        <v/>
      </c>
    </row>
    <row r="76">
      <c r="A76">
        <f>IF(Calc!$A79="","",Calc!$A79)</f>
        <v/>
      </c>
      <c r="B76">
        <f>IF(Calc!$A79="","",Calc!B79)</f>
        <v/>
      </c>
      <c r="C76">
        <f>IF(Calc!$A79="","",Calc!G79)</f>
        <v/>
      </c>
      <c r="D76">
        <f>IF(Calc!$A79="","",Calc!E79)</f>
        <v/>
      </c>
      <c r="E76">
        <f>IF(Calc!$A79="","",Calc!H79)</f>
        <v/>
      </c>
      <c r="F76">
        <f>IF(Calc!$A79="","",Calc!I79)</f>
        <v/>
      </c>
    </row>
    <row r="77">
      <c r="A77">
        <f>IF(Calc!$A80="","",Calc!$A80)</f>
        <v/>
      </c>
      <c r="B77">
        <f>IF(Calc!$A80="","",Calc!B80)</f>
        <v/>
      </c>
      <c r="C77">
        <f>IF(Calc!$A80="","",Calc!G80)</f>
        <v/>
      </c>
      <c r="D77">
        <f>IF(Calc!$A80="","",Calc!E80)</f>
        <v/>
      </c>
      <c r="E77">
        <f>IF(Calc!$A80="","",Calc!H80)</f>
        <v/>
      </c>
      <c r="F77">
        <f>IF(Calc!$A80="","",Calc!I80)</f>
        <v/>
      </c>
    </row>
    <row r="78">
      <c r="A78">
        <f>IF(Calc!$A81="","",Calc!$A81)</f>
        <v/>
      </c>
      <c r="B78">
        <f>IF(Calc!$A81="","",Calc!B81)</f>
        <v/>
      </c>
      <c r="C78">
        <f>IF(Calc!$A81="","",Calc!G81)</f>
        <v/>
      </c>
      <c r="D78">
        <f>IF(Calc!$A81="","",Calc!E81)</f>
        <v/>
      </c>
      <c r="E78">
        <f>IF(Calc!$A81="","",Calc!H81)</f>
        <v/>
      </c>
      <c r="F78">
        <f>IF(Calc!$A81="","",Calc!I81)</f>
        <v/>
      </c>
    </row>
    <row r="79">
      <c r="A79">
        <f>IF(Calc!$A82="","",Calc!$A82)</f>
        <v/>
      </c>
      <c r="B79">
        <f>IF(Calc!$A82="","",Calc!B82)</f>
        <v/>
      </c>
      <c r="C79">
        <f>IF(Calc!$A82="","",Calc!G82)</f>
        <v/>
      </c>
      <c r="D79">
        <f>IF(Calc!$A82="","",Calc!E82)</f>
        <v/>
      </c>
      <c r="E79">
        <f>IF(Calc!$A82="","",Calc!H82)</f>
        <v/>
      </c>
      <c r="F79">
        <f>IF(Calc!$A82="","",Calc!I82)</f>
        <v/>
      </c>
    </row>
    <row r="80">
      <c r="A80">
        <f>IF(Calc!$A83="","",Calc!$A83)</f>
        <v/>
      </c>
      <c r="B80">
        <f>IF(Calc!$A83="","",Calc!B83)</f>
        <v/>
      </c>
      <c r="C80">
        <f>IF(Calc!$A83="","",Calc!G83)</f>
        <v/>
      </c>
      <c r="D80">
        <f>IF(Calc!$A83="","",Calc!E83)</f>
        <v/>
      </c>
      <c r="E80">
        <f>IF(Calc!$A83="","",Calc!H83)</f>
        <v/>
      </c>
      <c r="F80">
        <f>IF(Calc!$A83="","",Calc!I83)</f>
        <v/>
      </c>
    </row>
    <row r="81">
      <c r="A81">
        <f>IF(Calc!$A84="","",Calc!$A84)</f>
        <v/>
      </c>
      <c r="B81">
        <f>IF(Calc!$A84="","",Calc!B84)</f>
        <v/>
      </c>
      <c r="C81">
        <f>IF(Calc!$A84="","",Calc!G84)</f>
        <v/>
      </c>
      <c r="D81">
        <f>IF(Calc!$A84="","",Calc!E84)</f>
        <v/>
      </c>
      <c r="E81">
        <f>IF(Calc!$A84="","",Calc!H84)</f>
        <v/>
      </c>
      <c r="F81">
        <f>IF(Calc!$A84="","",Calc!I84)</f>
        <v/>
      </c>
    </row>
    <row r="82">
      <c r="A82">
        <f>IF(Calc!$A85="","",Calc!$A85)</f>
        <v/>
      </c>
      <c r="B82">
        <f>IF(Calc!$A85="","",Calc!B85)</f>
        <v/>
      </c>
      <c r="C82">
        <f>IF(Calc!$A85="","",Calc!G85)</f>
        <v/>
      </c>
      <c r="D82">
        <f>IF(Calc!$A85="","",Calc!E85)</f>
        <v/>
      </c>
      <c r="E82">
        <f>IF(Calc!$A85="","",Calc!H85)</f>
        <v/>
      </c>
      <c r="F82">
        <f>IF(Calc!$A85="","",Calc!I85)</f>
        <v/>
      </c>
    </row>
    <row r="83">
      <c r="A83">
        <f>IF(Calc!$A86="","",Calc!$A86)</f>
        <v/>
      </c>
      <c r="B83">
        <f>IF(Calc!$A86="","",Calc!B86)</f>
        <v/>
      </c>
      <c r="C83">
        <f>IF(Calc!$A86="","",Calc!G86)</f>
        <v/>
      </c>
      <c r="D83">
        <f>IF(Calc!$A86="","",Calc!E86)</f>
        <v/>
      </c>
      <c r="E83">
        <f>IF(Calc!$A86="","",Calc!H86)</f>
        <v/>
      </c>
      <c r="F83">
        <f>IF(Calc!$A86="","",Calc!I86)</f>
        <v/>
      </c>
    </row>
    <row r="84">
      <c r="A84">
        <f>IF(Calc!$A87="","",Calc!$A87)</f>
        <v/>
      </c>
      <c r="B84">
        <f>IF(Calc!$A87="","",Calc!B87)</f>
        <v/>
      </c>
      <c r="C84">
        <f>IF(Calc!$A87="","",Calc!G87)</f>
        <v/>
      </c>
      <c r="D84">
        <f>IF(Calc!$A87="","",Calc!E87)</f>
        <v/>
      </c>
      <c r="E84">
        <f>IF(Calc!$A87="","",Calc!H87)</f>
        <v/>
      </c>
      <c r="F84">
        <f>IF(Calc!$A87="","",Calc!I87)</f>
        <v/>
      </c>
    </row>
    <row r="85">
      <c r="A85">
        <f>IF(Calc!$A88="","",Calc!$A88)</f>
        <v/>
      </c>
      <c r="B85">
        <f>IF(Calc!$A88="","",Calc!B88)</f>
        <v/>
      </c>
      <c r="C85">
        <f>IF(Calc!$A88="","",Calc!G88)</f>
        <v/>
      </c>
      <c r="D85">
        <f>IF(Calc!$A88="","",Calc!E88)</f>
        <v/>
      </c>
      <c r="E85">
        <f>IF(Calc!$A88="","",Calc!H88)</f>
        <v/>
      </c>
      <c r="F85">
        <f>IF(Calc!$A88="","",Calc!I88)</f>
        <v/>
      </c>
    </row>
    <row r="86">
      <c r="A86">
        <f>IF(Calc!$A89="","",Calc!$A89)</f>
        <v/>
      </c>
      <c r="B86">
        <f>IF(Calc!$A89="","",Calc!B89)</f>
        <v/>
      </c>
      <c r="C86">
        <f>IF(Calc!$A89="","",Calc!G89)</f>
        <v/>
      </c>
      <c r="D86">
        <f>IF(Calc!$A89="","",Calc!E89)</f>
        <v/>
      </c>
      <c r="E86">
        <f>IF(Calc!$A89="","",Calc!H89)</f>
        <v/>
      </c>
      <c r="F86">
        <f>IF(Calc!$A89="","",Calc!I89)</f>
        <v/>
      </c>
    </row>
    <row r="87">
      <c r="A87">
        <f>IF(Calc!$A90="","",Calc!$A90)</f>
        <v/>
      </c>
      <c r="B87">
        <f>IF(Calc!$A90="","",Calc!B90)</f>
        <v/>
      </c>
      <c r="C87">
        <f>IF(Calc!$A90="","",Calc!G90)</f>
        <v/>
      </c>
      <c r="D87">
        <f>IF(Calc!$A90="","",Calc!E90)</f>
        <v/>
      </c>
      <c r="E87">
        <f>IF(Calc!$A90="","",Calc!H90)</f>
        <v/>
      </c>
      <c r="F87">
        <f>IF(Calc!$A90="","",Calc!I90)</f>
        <v/>
      </c>
    </row>
    <row r="88">
      <c r="A88">
        <f>IF(Calc!$A91="","",Calc!$A91)</f>
        <v/>
      </c>
      <c r="B88">
        <f>IF(Calc!$A91="","",Calc!B91)</f>
        <v/>
      </c>
      <c r="C88">
        <f>IF(Calc!$A91="","",Calc!G91)</f>
        <v/>
      </c>
      <c r="D88">
        <f>IF(Calc!$A91="","",Calc!E91)</f>
        <v/>
      </c>
      <c r="E88">
        <f>IF(Calc!$A91="","",Calc!H91)</f>
        <v/>
      </c>
      <c r="F88">
        <f>IF(Calc!$A91="","",Calc!I91)</f>
        <v/>
      </c>
    </row>
    <row r="89">
      <c r="A89">
        <f>IF(Calc!$A92="","",Calc!$A92)</f>
        <v/>
      </c>
      <c r="B89">
        <f>IF(Calc!$A92="","",Calc!B92)</f>
        <v/>
      </c>
      <c r="C89">
        <f>IF(Calc!$A92="","",Calc!G92)</f>
        <v/>
      </c>
      <c r="D89">
        <f>IF(Calc!$A92="","",Calc!E92)</f>
        <v/>
      </c>
      <c r="E89">
        <f>IF(Calc!$A92="","",Calc!H92)</f>
        <v/>
      </c>
      <c r="F89">
        <f>IF(Calc!$A92="","",Calc!I92)</f>
        <v/>
      </c>
    </row>
    <row r="90">
      <c r="A90">
        <f>IF(Calc!$A93="","",Calc!$A93)</f>
        <v/>
      </c>
      <c r="B90">
        <f>IF(Calc!$A93="","",Calc!B93)</f>
        <v/>
      </c>
      <c r="C90">
        <f>IF(Calc!$A93="","",Calc!G93)</f>
        <v/>
      </c>
      <c r="D90">
        <f>IF(Calc!$A93="","",Calc!E93)</f>
        <v/>
      </c>
      <c r="E90">
        <f>IF(Calc!$A93="","",Calc!H93)</f>
        <v/>
      </c>
      <c r="F90">
        <f>IF(Calc!$A93="","",Calc!I93)</f>
        <v/>
      </c>
    </row>
    <row r="91">
      <c r="A91">
        <f>IF(Calc!$A94="","",Calc!$A94)</f>
        <v/>
      </c>
      <c r="B91">
        <f>IF(Calc!$A94="","",Calc!B94)</f>
        <v/>
      </c>
      <c r="C91">
        <f>IF(Calc!$A94="","",Calc!G94)</f>
        <v/>
      </c>
      <c r="D91">
        <f>IF(Calc!$A94="","",Calc!E94)</f>
        <v/>
      </c>
      <c r="E91">
        <f>IF(Calc!$A94="","",Calc!H94)</f>
        <v/>
      </c>
      <c r="F91">
        <f>IF(Calc!$A94="","",Calc!I94)</f>
        <v/>
      </c>
    </row>
    <row r="92">
      <c r="A92">
        <f>IF(Calc!$A95="","",Calc!$A95)</f>
        <v/>
      </c>
      <c r="B92">
        <f>IF(Calc!$A95="","",Calc!B95)</f>
        <v/>
      </c>
      <c r="C92">
        <f>IF(Calc!$A95="","",Calc!G95)</f>
        <v/>
      </c>
      <c r="D92">
        <f>IF(Calc!$A95="","",Calc!E95)</f>
        <v/>
      </c>
      <c r="E92">
        <f>IF(Calc!$A95="","",Calc!H95)</f>
        <v/>
      </c>
      <c r="F92">
        <f>IF(Calc!$A95="","",Calc!I95)</f>
        <v/>
      </c>
    </row>
    <row r="93">
      <c r="A93">
        <f>IF(Calc!$A96="","",Calc!$A96)</f>
        <v/>
      </c>
      <c r="B93">
        <f>IF(Calc!$A96="","",Calc!B96)</f>
        <v/>
      </c>
      <c r="C93">
        <f>IF(Calc!$A96="","",Calc!G96)</f>
        <v/>
      </c>
      <c r="D93">
        <f>IF(Calc!$A96="","",Calc!E96)</f>
        <v/>
      </c>
      <c r="E93">
        <f>IF(Calc!$A96="","",Calc!H96)</f>
        <v/>
      </c>
      <c r="F93">
        <f>IF(Calc!$A96="","",Calc!I96)</f>
        <v/>
      </c>
    </row>
    <row r="94">
      <c r="A94">
        <f>IF(Calc!$A97="","",Calc!$A97)</f>
        <v/>
      </c>
      <c r="B94">
        <f>IF(Calc!$A97="","",Calc!B97)</f>
        <v/>
      </c>
      <c r="C94">
        <f>IF(Calc!$A97="","",Calc!G97)</f>
        <v/>
      </c>
      <c r="D94">
        <f>IF(Calc!$A97="","",Calc!E97)</f>
        <v/>
      </c>
      <c r="E94">
        <f>IF(Calc!$A97="","",Calc!H97)</f>
        <v/>
      </c>
      <c r="F94">
        <f>IF(Calc!$A97="","",Calc!I97)</f>
        <v/>
      </c>
    </row>
    <row r="95">
      <c r="A95">
        <f>IF(Calc!$A98="","",Calc!$A98)</f>
        <v/>
      </c>
      <c r="B95">
        <f>IF(Calc!$A98="","",Calc!B98)</f>
        <v/>
      </c>
      <c r="C95">
        <f>IF(Calc!$A98="","",Calc!G98)</f>
        <v/>
      </c>
      <c r="D95">
        <f>IF(Calc!$A98="","",Calc!E98)</f>
        <v/>
      </c>
      <c r="E95">
        <f>IF(Calc!$A98="","",Calc!H98)</f>
        <v/>
      </c>
      <c r="F95">
        <f>IF(Calc!$A98="","",Calc!I98)</f>
        <v/>
      </c>
    </row>
    <row r="96">
      <c r="A96">
        <f>IF(Calc!$A99="","",Calc!$A99)</f>
        <v/>
      </c>
      <c r="B96">
        <f>IF(Calc!$A99="","",Calc!B99)</f>
        <v/>
      </c>
      <c r="C96">
        <f>IF(Calc!$A99="","",Calc!G99)</f>
        <v/>
      </c>
      <c r="D96">
        <f>IF(Calc!$A99="","",Calc!E99)</f>
        <v/>
      </c>
      <c r="E96">
        <f>IF(Calc!$A99="","",Calc!H99)</f>
        <v/>
      </c>
      <c r="F96">
        <f>IF(Calc!$A99="","",Calc!I99)</f>
        <v/>
      </c>
    </row>
    <row r="97">
      <c r="A97">
        <f>IF(Calc!$A100="","",Calc!$A100)</f>
        <v/>
      </c>
      <c r="B97">
        <f>IF(Calc!$A100="","",Calc!B100)</f>
        <v/>
      </c>
      <c r="C97">
        <f>IF(Calc!$A100="","",Calc!G100)</f>
        <v/>
      </c>
      <c r="D97">
        <f>IF(Calc!$A100="","",Calc!E100)</f>
        <v/>
      </c>
      <c r="E97">
        <f>IF(Calc!$A100="","",Calc!H100)</f>
        <v/>
      </c>
      <c r="F97">
        <f>IF(Calc!$A100="","",Calc!I100)</f>
        <v/>
      </c>
    </row>
    <row r="98">
      <c r="A98">
        <f>IF(Calc!$A101="","",Calc!$A101)</f>
        <v/>
      </c>
      <c r="B98">
        <f>IF(Calc!$A101="","",Calc!B101)</f>
        <v/>
      </c>
      <c r="C98">
        <f>IF(Calc!$A101="","",Calc!G101)</f>
        <v/>
      </c>
      <c r="D98">
        <f>IF(Calc!$A101="","",Calc!E101)</f>
        <v/>
      </c>
      <c r="E98">
        <f>IF(Calc!$A101="","",Calc!H101)</f>
        <v/>
      </c>
      <c r="F98">
        <f>IF(Calc!$A101="","",Calc!I101)</f>
        <v/>
      </c>
    </row>
    <row r="99">
      <c r="A99">
        <f>IF(Calc!$A102="","",Calc!$A102)</f>
        <v/>
      </c>
      <c r="B99">
        <f>IF(Calc!$A102="","",Calc!B102)</f>
        <v/>
      </c>
      <c r="C99">
        <f>IF(Calc!$A102="","",Calc!G102)</f>
        <v/>
      </c>
      <c r="D99">
        <f>IF(Calc!$A102="","",Calc!E102)</f>
        <v/>
      </c>
      <c r="E99">
        <f>IF(Calc!$A102="","",Calc!H102)</f>
        <v/>
      </c>
      <c r="F99">
        <f>IF(Calc!$A102="","",Calc!I102)</f>
        <v/>
      </c>
    </row>
    <row r="100">
      <c r="A100">
        <f>IF(Calc!$A103="","",Calc!$A103)</f>
        <v/>
      </c>
      <c r="B100">
        <f>IF(Calc!$A103="","",Calc!B103)</f>
        <v/>
      </c>
      <c r="C100">
        <f>IF(Calc!$A103="","",Calc!G103)</f>
        <v/>
      </c>
      <c r="D100">
        <f>IF(Calc!$A103="","",Calc!E103)</f>
        <v/>
      </c>
      <c r="E100">
        <f>IF(Calc!$A103="","",Calc!H103)</f>
        <v/>
      </c>
      <c r="F100">
        <f>IF(Calc!$A103="","",Calc!I103)</f>
        <v/>
      </c>
    </row>
    <row r="101">
      <c r="A101">
        <f>IF(Calc!$A104="","",Calc!$A104)</f>
        <v/>
      </c>
      <c r="B101">
        <f>IF(Calc!$A104="","",Calc!B104)</f>
        <v/>
      </c>
      <c r="C101">
        <f>IF(Calc!$A104="","",Calc!G104)</f>
        <v/>
      </c>
      <c r="D101">
        <f>IF(Calc!$A104="","",Calc!E104)</f>
        <v/>
      </c>
      <c r="E101">
        <f>IF(Calc!$A104="","",Calc!H104)</f>
        <v/>
      </c>
      <c r="F101">
        <f>IF(Calc!$A104="","",Calc!I104)</f>
        <v/>
      </c>
    </row>
    <row r="102">
      <c r="A102">
        <f>IF(Calc!$A105="","",Calc!$A105)</f>
        <v/>
      </c>
      <c r="B102">
        <f>IF(Calc!$A105="","",Calc!B105)</f>
        <v/>
      </c>
      <c r="C102">
        <f>IF(Calc!$A105="","",Calc!G105)</f>
        <v/>
      </c>
      <c r="D102">
        <f>IF(Calc!$A105="","",Calc!E105)</f>
        <v/>
      </c>
      <c r="E102">
        <f>IF(Calc!$A105="","",Calc!H105)</f>
        <v/>
      </c>
      <c r="F102">
        <f>IF(Calc!$A105="","",Calc!I105)</f>
        <v/>
      </c>
    </row>
    <row r="103">
      <c r="A103">
        <f>IF(Calc!$A106="","",Calc!$A106)</f>
        <v/>
      </c>
      <c r="B103">
        <f>IF(Calc!$A106="","",Calc!B106)</f>
        <v/>
      </c>
      <c r="C103">
        <f>IF(Calc!$A106="","",Calc!G106)</f>
        <v/>
      </c>
      <c r="D103">
        <f>IF(Calc!$A106="","",Calc!E106)</f>
        <v/>
      </c>
      <c r="E103">
        <f>IF(Calc!$A106="","",Calc!H106)</f>
        <v/>
      </c>
      <c r="F103">
        <f>IF(Calc!$A106="","",Calc!I106)</f>
        <v/>
      </c>
    </row>
    <row r="104">
      <c r="A104">
        <f>IF(Calc!$A107="","",Calc!$A107)</f>
        <v/>
      </c>
      <c r="B104">
        <f>IF(Calc!$A107="","",Calc!B107)</f>
        <v/>
      </c>
      <c r="C104">
        <f>IF(Calc!$A107="","",Calc!G107)</f>
        <v/>
      </c>
      <c r="D104">
        <f>IF(Calc!$A107="","",Calc!E107)</f>
        <v/>
      </c>
      <c r="E104">
        <f>IF(Calc!$A107="","",Calc!H107)</f>
        <v/>
      </c>
      <c r="F104">
        <f>IF(Calc!$A107="","",Calc!I107)</f>
        <v/>
      </c>
    </row>
    <row r="105">
      <c r="A105">
        <f>IF(Calc!$A108="","",Calc!$A108)</f>
        <v/>
      </c>
      <c r="B105">
        <f>IF(Calc!$A108="","",Calc!B108)</f>
        <v/>
      </c>
      <c r="C105">
        <f>IF(Calc!$A108="","",Calc!G108)</f>
        <v/>
      </c>
      <c r="D105">
        <f>IF(Calc!$A108="","",Calc!E108)</f>
        <v/>
      </c>
      <c r="E105">
        <f>IF(Calc!$A108="","",Calc!H108)</f>
        <v/>
      </c>
      <c r="F105">
        <f>IF(Calc!$A108="","",Calc!I108)</f>
        <v/>
      </c>
    </row>
    <row r="106">
      <c r="A106">
        <f>IF(Calc!$A109="","",Calc!$A109)</f>
        <v/>
      </c>
      <c r="B106">
        <f>IF(Calc!$A109="","",Calc!B109)</f>
        <v/>
      </c>
      <c r="C106">
        <f>IF(Calc!$A109="","",Calc!G109)</f>
        <v/>
      </c>
      <c r="D106">
        <f>IF(Calc!$A109="","",Calc!E109)</f>
        <v/>
      </c>
      <c r="E106">
        <f>IF(Calc!$A109="","",Calc!H109)</f>
        <v/>
      </c>
      <c r="F106">
        <f>IF(Calc!$A109="","",Calc!I109)</f>
        <v/>
      </c>
    </row>
    <row r="107">
      <c r="A107">
        <f>IF(Calc!$A110="","",Calc!$A110)</f>
        <v/>
      </c>
      <c r="B107">
        <f>IF(Calc!$A110="","",Calc!B110)</f>
        <v/>
      </c>
      <c r="C107">
        <f>IF(Calc!$A110="","",Calc!G110)</f>
        <v/>
      </c>
      <c r="D107">
        <f>IF(Calc!$A110="","",Calc!E110)</f>
        <v/>
      </c>
      <c r="E107">
        <f>IF(Calc!$A110="","",Calc!H110)</f>
        <v/>
      </c>
      <c r="F107">
        <f>IF(Calc!$A110="","",Calc!I110)</f>
        <v/>
      </c>
    </row>
    <row r="108">
      <c r="A108">
        <f>IF(Calc!$A111="","",Calc!$A111)</f>
        <v/>
      </c>
      <c r="B108">
        <f>IF(Calc!$A111="","",Calc!B111)</f>
        <v/>
      </c>
      <c r="C108">
        <f>IF(Calc!$A111="","",Calc!G111)</f>
        <v/>
      </c>
      <c r="D108">
        <f>IF(Calc!$A111="","",Calc!E111)</f>
        <v/>
      </c>
      <c r="E108">
        <f>IF(Calc!$A111="","",Calc!H111)</f>
        <v/>
      </c>
      <c r="F108">
        <f>IF(Calc!$A111="","",Calc!I111)</f>
        <v/>
      </c>
    </row>
    <row r="109">
      <c r="A109">
        <f>IF(Calc!$A112="","",Calc!$A112)</f>
        <v/>
      </c>
      <c r="B109">
        <f>IF(Calc!$A112="","",Calc!B112)</f>
        <v/>
      </c>
      <c r="C109">
        <f>IF(Calc!$A112="","",Calc!G112)</f>
        <v/>
      </c>
      <c r="D109">
        <f>IF(Calc!$A112="","",Calc!E112)</f>
        <v/>
      </c>
      <c r="E109">
        <f>IF(Calc!$A112="","",Calc!H112)</f>
        <v/>
      </c>
      <c r="F109">
        <f>IF(Calc!$A112="","",Calc!I112)</f>
        <v/>
      </c>
    </row>
    <row r="110">
      <c r="A110">
        <f>IF(Calc!$A113="","",Calc!$A113)</f>
        <v/>
      </c>
      <c r="B110">
        <f>IF(Calc!$A113="","",Calc!B113)</f>
        <v/>
      </c>
      <c r="C110">
        <f>IF(Calc!$A113="","",Calc!G113)</f>
        <v/>
      </c>
      <c r="D110">
        <f>IF(Calc!$A113="","",Calc!E113)</f>
        <v/>
      </c>
      <c r="E110">
        <f>IF(Calc!$A113="","",Calc!H113)</f>
        <v/>
      </c>
      <c r="F110">
        <f>IF(Calc!$A113="","",Calc!I113)</f>
        <v/>
      </c>
    </row>
    <row r="111">
      <c r="A111">
        <f>IF(Calc!$A114="","",Calc!$A114)</f>
        <v/>
      </c>
      <c r="B111">
        <f>IF(Calc!$A114="","",Calc!B114)</f>
        <v/>
      </c>
      <c r="C111">
        <f>IF(Calc!$A114="","",Calc!G114)</f>
        <v/>
      </c>
      <c r="D111">
        <f>IF(Calc!$A114="","",Calc!E114)</f>
        <v/>
      </c>
      <c r="E111">
        <f>IF(Calc!$A114="","",Calc!H114)</f>
        <v/>
      </c>
      <c r="F111">
        <f>IF(Calc!$A114="","",Calc!I114)</f>
        <v/>
      </c>
    </row>
    <row r="112">
      <c r="A112">
        <f>IF(Calc!$A115="","",Calc!$A115)</f>
        <v/>
      </c>
      <c r="B112">
        <f>IF(Calc!$A115="","",Calc!B115)</f>
        <v/>
      </c>
      <c r="C112">
        <f>IF(Calc!$A115="","",Calc!G115)</f>
        <v/>
      </c>
      <c r="D112">
        <f>IF(Calc!$A115="","",Calc!E115)</f>
        <v/>
      </c>
      <c r="E112">
        <f>IF(Calc!$A115="","",Calc!H115)</f>
        <v/>
      </c>
      <c r="F112">
        <f>IF(Calc!$A115="","",Calc!I115)</f>
        <v/>
      </c>
    </row>
    <row r="113">
      <c r="A113">
        <f>IF(Calc!$A116="","",Calc!$A116)</f>
        <v/>
      </c>
      <c r="B113">
        <f>IF(Calc!$A116="","",Calc!B116)</f>
        <v/>
      </c>
      <c r="C113">
        <f>IF(Calc!$A116="","",Calc!G116)</f>
        <v/>
      </c>
      <c r="D113">
        <f>IF(Calc!$A116="","",Calc!E116)</f>
        <v/>
      </c>
      <c r="E113">
        <f>IF(Calc!$A116="","",Calc!H116)</f>
        <v/>
      </c>
      <c r="F113">
        <f>IF(Calc!$A116="","",Calc!I116)</f>
        <v/>
      </c>
    </row>
    <row r="114">
      <c r="A114">
        <f>IF(Calc!$A117="","",Calc!$A117)</f>
        <v/>
      </c>
      <c r="B114">
        <f>IF(Calc!$A117="","",Calc!B117)</f>
        <v/>
      </c>
      <c r="C114">
        <f>IF(Calc!$A117="","",Calc!G117)</f>
        <v/>
      </c>
      <c r="D114">
        <f>IF(Calc!$A117="","",Calc!E117)</f>
        <v/>
      </c>
      <c r="E114">
        <f>IF(Calc!$A117="","",Calc!H117)</f>
        <v/>
      </c>
      <c r="F114">
        <f>IF(Calc!$A117="","",Calc!I117)</f>
        <v/>
      </c>
    </row>
    <row r="115">
      <c r="A115">
        <f>IF(Calc!$A118="","",Calc!$A118)</f>
        <v/>
      </c>
      <c r="B115">
        <f>IF(Calc!$A118="","",Calc!B118)</f>
        <v/>
      </c>
      <c r="C115">
        <f>IF(Calc!$A118="","",Calc!G118)</f>
        <v/>
      </c>
      <c r="D115">
        <f>IF(Calc!$A118="","",Calc!E118)</f>
        <v/>
      </c>
      <c r="E115">
        <f>IF(Calc!$A118="","",Calc!H118)</f>
        <v/>
      </c>
      <c r="F115">
        <f>IF(Calc!$A118="","",Calc!I118)</f>
        <v/>
      </c>
    </row>
    <row r="116">
      <c r="A116">
        <f>IF(Calc!$A119="","",Calc!$A119)</f>
        <v/>
      </c>
      <c r="B116">
        <f>IF(Calc!$A119="","",Calc!B119)</f>
        <v/>
      </c>
      <c r="C116">
        <f>IF(Calc!$A119="","",Calc!G119)</f>
        <v/>
      </c>
      <c r="D116">
        <f>IF(Calc!$A119="","",Calc!E119)</f>
        <v/>
      </c>
      <c r="E116">
        <f>IF(Calc!$A119="","",Calc!H119)</f>
        <v/>
      </c>
      <c r="F116">
        <f>IF(Calc!$A119="","",Calc!I119)</f>
        <v/>
      </c>
    </row>
    <row r="117">
      <c r="A117">
        <f>IF(Calc!$A120="","",Calc!$A120)</f>
        <v/>
      </c>
      <c r="B117">
        <f>IF(Calc!$A120="","",Calc!B120)</f>
        <v/>
      </c>
      <c r="C117">
        <f>IF(Calc!$A120="","",Calc!G120)</f>
        <v/>
      </c>
      <c r="D117">
        <f>IF(Calc!$A120="","",Calc!E120)</f>
        <v/>
      </c>
      <c r="E117">
        <f>IF(Calc!$A120="","",Calc!H120)</f>
        <v/>
      </c>
      <c r="F117">
        <f>IF(Calc!$A120="","",Calc!I120)</f>
        <v/>
      </c>
    </row>
    <row r="118">
      <c r="A118">
        <f>IF(Calc!$A121="","",Calc!$A121)</f>
        <v/>
      </c>
      <c r="B118">
        <f>IF(Calc!$A121="","",Calc!B121)</f>
        <v/>
      </c>
      <c r="C118">
        <f>IF(Calc!$A121="","",Calc!G121)</f>
        <v/>
      </c>
      <c r="D118">
        <f>IF(Calc!$A121="","",Calc!E121)</f>
        <v/>
      </c>
      <c r="E118">
        <f>IF(Calc!$A121="","",Calc!H121)</f>
        <v/>
      </c>
      <c r="F118">
        <f>IF(Calc!$A121="","",Calc!I121)</f>
        <v/>
      </c>
    </row>
    <row r="119">
      <c r="A119">
        <f>IF(Calc!$A122="","",Calc!$A122)</f>
        <v/>
      </c>
      <c r="B119">
        <f>IF(Calc!$A122="","",Calc!B122)</f>
        <v/>
      </c>
      <c r="C119">
        <f>IF(Calc!$A122="","",Calc!G122)</f>
        <v/>
      </c>
      <c r="D119">
        <f>IF(Calc!$A122="","",Calc!E122)</f>
        <v/>
      </c>
      <c r="E119">
        <f>IF(Calc!$A122="","",Calc!H122)</f>
        <v/>
      </c>
      <c r="F119">
        <f>IF(Calc!$A122="","",Calc!I122)</f>
        <v/>
      </c>
    </row>
    <row r="120">
      <c r="A120">
        <f>IF(Calc!$A123="","",Calc!$A123)</f>
        <v/>
      </c>
      <c r="B120">
        <f>IF(Calc!$A123="","",Calc!B123)</f>
        <v/>
      </c>
      <c r="C120">
        <f>IF(Calc!$A123="","",Calc!G123)</f>
        <v/>
      </c>
      <c r="D120">
        <f>IF(Calc!$A123="","",Calc!E123)</f>
        <v/>
      </c>
      <c r="E120">
        <f>IF(Calc!$A123="","",Calc!H123)</f>
        <v/>
      </c>
      <c r="F120">
        <f>IF(Calc!$A123="","",Calc!I123)</f>
        <v/>
      </c>
    </row>
    <row r="121">
      <c r="A121">
        <f>IF(Calc!$A124="","",Calc!$A124)</f>
        <v/>
      </c>
      <c r="B121">
        <f>IF(Calc!$A124="","",Calc!B124)</f>
        <v/>
      </c>
      <c r="C121">
        <f>IF(Calc!$A124="","",Calc!G124)</f>
        <v/>
      </c>
      <c r="D121">
        <f>IF(Calc!$A124="","",Calc!E124)</f>
        <v/>
      </c>
      <c r="E121">
        <f>IF(Calc!$A124="","",Calc!H124)</f>
        <v/>
      </c>
      <c r="F121">
        <f>IF(Calc!$A124="","",Calc!I124)</f>
        <v/>
      </c>
    </row>
    <row r="122">
      <c r="A122">
        <f>IF(Calc!$A125="","",Calc!$A125)</f>
        <v/>
      </c>
      <c r="B122">
        <f>IF(Calc!$A125="","",Calc!B125)</f>
        <v/>
      </c>
      <c r="C122">
        <f>IF(Calc!$A125="","",Calc!G125)</f>
        <v/>
      </c>
      <c r="D122">
        <f>IF(Calc!$A125="","",Calc!E125)</f>
        <v/>
      </c>
      <c r="E122">
        <f>IF(Calc!$A125="","",Calc!H125)</f>
        <v/>
      </c>
      <c r="F122">
        <f>IF(Calc!$A125="","",Calc!I125)</f>
        <v/>
      </c>
    </row>
    <row r="123">
      <c r="A123">
        <f>IF(Calc!$A126="","",Calc!$A126)</f>
        <v/>
      </c>
      <c r="B123">
        <f>IF(Calc!$A126="","",Calc!B126)</f>
        <v/>
      </c>
      <c r="C123">
        <f>IF(Calc!$A126="","",Calc!G126)</f>
        <v/>
      </c>
      <c r="D123">
        <f>IF(Calc!$A126="","",Calc!E126)</f>
        <v/>
      </c>
      <c r="E123">
        <f>IF(Calc!$A126="","",Calc!H126)</f>
        <v/>
      </c>
      <c r="F123">
        <f>IF(Calc!$A126="","",Calc!I126)</f>
        <v/>
      </c>
    </row>
    <row r="124">
      <c r="A124">
        <f>IF(Calc!$A127="","",Calc!$A127)</f>
        <v/>
      </c>
      <c r="B124">
        <f>IF(Calc!$A127="","",Calc!B127)</f>
        <v/>
      </c>
      <c r="C124">
        <f>IF(Calc!$A127="","",Calc!G127)</f>
        <v/>
      </c>
      <c r="D124">
        <f>IF(Calc!$A127="","",Calc!E127)</f>
        <v/>
      </c>
      <c r="E124">
        <f>IF(Calc!$A127="","",Calc!H127)</f>
        <v/>
      </c>
      <c r="F124">
        <f>IF(Calc!$A127="","",Calc!I127)</f>
        <v/>
      </c>
    </row>
    <row r="125">
      <c r="A125">
        <f>IF(Calc!$A128="","",Calc!$A128)</f>
        <v/>
      </c>
      <c r="B125">
        <f>IF(Calc!$A128="","",Calc!B128)</f>
        <v/>
      </c>
      <c r="C125">
        <f>IF(Calc!$A128="","",Calc!G128)</f>
        <v/>
      </c>
      <c r="D125">
        <f>IF(Calc!$A128="","",Calc!E128)</f>
        <v/>
      </c>
      <c r="E125">
        <f>IF(Calc!$A128="","",Calc!H128)</f>
        <v/>
      </c>
      <c r="F125">
        <f>IF(Calc!$A128="","",Calc!I128)</f>
        <v/>
      </c>
    </row>
    <row r="126">
      <c r="A126">
        <f>IF(Calc!$A129="","",Calc!$A129)</f>
        <v/>
      </c>
      <c r="B126">
        <f>IF(Calc!$A129="","",Calc!B129)</f>
        <v/>
      </c>
      <c r="C126">
        <f>IF(Calc!$A129="","",Calc!G129)</f>
        <v/>
      </c>
      <c r="D126">
        <f>IF(Calc!$A129="","",Calc!E129)</f>
        <v/>
      </c>
      <c r="E126">
        <f>IF(Calc!$A129="","",Calc!H129)</f>
        <v/>
      </c>
      <c r="F126">
        <f>IF(Calc!$A129="","",Calc!I129)</f>
        <v/>
      </c>
    </row>
    <row r="127">
      <c r="A127">
        <f>IF(Calc!$A130="","",Calc!$A130)</f>
        <v/>
      </c>
      <c r="B127">
        <f>IF(Calc!$A130="","",Calc!B130)</f>
        <v/>
      </c>
      <c r="C127">
        <f>IF(Calc!$A130="","",Calc!G130)</f>
        <v/>
      </c>
      <c r="D127">
        <f>IF(Calc!$A130="","",Calc!E130)</f>
        <v/>
      </c>
      <c r="E127">
        <f>IF(Calc!$A130="","",Calc!H130)</f>
        <v/>
      </c>
      <c r="F127">
        <f>IF(Calc!$A130="","",Calc!I130)</f>
        <v/>
      </c>
    </row>
    <row r="128">
      <c r="A128">
        <f>IF(Calc!$A131="","",Calc!$A131)</f>
        <v/>
      </c>
      <c r="B128">
        <f>IF(Calc!$A131="","",Calc!B131)</f>
        <v/>
      </c>
      <c r="C128">
        <f>IF(Calc!$A131="","",Calc!G131)</f>
        <v/>
      </c>
      <c r="D128">
        <f>IF(Calc!$A131="","",Calc!E131)</f>
        <v/>
      </c>
      <c r="E128">
        <f>IF(Calc!$A131="","",Calc!H131)</f>
        <v/>
      </c>
      <c r="F128">
        <f>IF(Calc!$A131="","",Calc!I131)</f>
        <v/>
      </c>
    </row>
    <row r="129">
      <c r="A129">
        <f>IF(Calc!$A132="","",Calc!$A132)</f>
        <v/>
      </c>
      <c r="B129">
        <f>IF(Calc!$A132="","",Calc!B132)</f>
        <v/>
      </c>
      <c r="C129">
        <f>IF(Calc!$A132="","",Calc!G132)</f>
        <v/>
      </c>
      <c r="D129">
        <f>IF(Calc!$A132="","",Calc!E132)</f>
        <v/>
      </c>
      <c r="E129">
        <f>IF(Calc!$A132="","",Calc!H132)</f>
        <v/>
      </c>
      <c r="F129">
        <f>IF(Calc!$A132="","",Calc!I132)</f>
        <v/>
      </c>
    </row>
    <row r="130">
      <c r="A130">
        <f>IF(Calc!$A133="","",Calc!$A133)</f>
        <v/>
      </c>
      <c r="B130">
        <f>IF(Calc!$A133="","",Calc!B133)</f>
        <v/>
      </c>
      <c r="C130">
        <f>IF(Calc!$A133="","",Calc!G133)</f>
        <v/>
      </c>
      <c r="D130">
        <f>IF(Calc!$A133="","",Calc!E133)</f>
        <v/>
      </c>
      <c r="E130">
        <f>IF(Calc!$A133="","",Calc!H133)</f>
        <v/>
      </c>
      <c r="F130">
        <f>IF(Calc!$A133="","",Calc!I133)</f>
        <v/>
      </c>
    </row>
    <row r="131">
      <c r="A131">
        <f>IF(Calc!$A134="","",Calc!$A134)</f>
        <v/>
      </c>
      <c r="B131">
        <f>IF(Calc!$A134="","",Calc!B134)</f>
        <v/>
      </c>
      <c r="C131">
        <f>IF(Calc!$A134="","",Calc!G134)</f>
        <v/>
      </c>
      <c r="D131">
        <f>IF(Calc!$A134="","",Calc!E134)</f>
        <v/>
      </c>
      <c r="E131">
        <f>IF(Calc!$A134="","",Calc!H134)</f>
        <v/>
      </c>
      <c r="F131">
        <f>IF(Calc!$A134="","",Calc!I134)</f>
        <v/>
      </c>
    </row>
    <row r="132">
      <c r="A132">
        <f>IF(Calc!$A135="","",Calc!$A135)</f>
        <v/>
      </c>
      <c r="B132">
        <f>IF(Calc!$A135="","",Calc!B135)</f>
        <v/>
      </c>
      <c r="C132">
        <f>IF(Calc!$A135="","",Calc!G135)</f>
        <v/>
      </c>
      <c r="D132">
        <f>IF(Calc!$A135="","",Calc!E135)</f>
        <v/>
      </c>
      <c r="E132">
        <f>IF(Calc!$A135="","",Calc!H135)</f>
        <v/>
      </c>
      <c r="F132">
        <f>IF(Calc!$A135="","",Calc!I135)</f>
        <v/>
      </c>
    </row>
    <row r="133">
      <c r="A133">
        <f>IF(Calc!$A136="","",Calc!$A136)</f>
        <v/>
      </c>
      <c r="B133">
        <f>IF(Calc!$A136="","",Calc!B136)</f>
        <v/>
      </c>
      <c r="C133">
        <f>IF(Calc!$A136="","",Calc!G136)</f>
        <v/>
      </c>
      <c r="D133">
        <f>IF(Calc!$A136="","",Calc!E136)</f>
        <v/>
      </c>
      <c r="E133">
        <f>IF(Calc!$A136="","",Calc!H136)</f>
        <v/>
      </c>
      <c r="F133">
        <f>IF(Calc!$A136="","",Calc!I136)</f>
        <v/>
      </c>
    </row>
    <row r="134">
      <c r="A134">
        <f>IF(Calc!$A137="","",Calc!$A137)</f>
        <v/>
      </c>
      <c r="B134">
        <f>IF(Calc!$A137="","",Calc!B137)</f>
        <v/>
      </c>
      <c r="C134">
        <f>IF(Calc!$A137="","",Calc!G137)</f>
        <v/>
      </c>
      <c r="D134">
        <f>IF(Calc!$A137="","",Calc!E137)</f>
        <v/>
      </c>
      <c r="E134">
        <f>IF(Calc!$A137="","",Calc!H137)</f>
        <v/>
      </c>
      <c r="F134">
        <f>IF(Calc!$A137="","",Calc!I137)</f>
        <v/>
      </c>
    </row>
    <row r="135">
      <c r="A135">
        <f>IF(Calc!$A138="","",Calc!$A138)</f>
        <v/>
      </c>
      <c r="B135">
        <f>IF(Calc!$A138="","",Calc!B138)</f>
        <v/>
      </c>
      <c r="C135">
        <f>IF(Calc!$A138="","",Calc!G138)</f>
        <v/>
      </c>
      <c r="D135">
        <f>IF(Calc!$A138="","",Calc!E138)</f>
        <v/>
      </c>
      <c r="E135">
        <f>IF(Calc!$A138="","",Calc!H138)</f>
        <v/>
      </c>
      <c r="F135">
        <f>IF(Calc!$A138="","",Calc!I138)</f>
        <v/>
      </c>
    </row>
    <row r="136">
      <c r="A136">
        <f>IF(Calc!$A139="","",Calc!$A139)</f>
        <v/>
      </c>
      <c r="B136">
        <f>IF(Calc!$A139="","",Calc!B139)</f>
        <v/>
      </c>
      <c r="C136">
        <f>IF(Calc!$A139="","",Calc!G139)</f>
        <v/>
      </c>
      <c r="D136">
        <f>IF(Calc!$A139="","",Calc!E139)</f>
        <v/>
      </c>
      <c r="E136">
        <f>IF(Calc!$A139="","",Calc!H139)</f>
        <v/>
      </c>
      <c r="F136">
        <f>IF(Calc!$A139="","",Calc!I139)</f>
        <v/>
      </c>
    </row>
    <row r="137">
      <c r="A137">
        <f>IF(Calc!$A140="","",Calc!$A140)</f>
        <v/>
      </c>
      <c r="B137">
        <f>IF(Calc!$A140="","",Calc!B140)</f>
        <v/>
      </c>
      <c r="C137">
        <f>IF(Calc!$A140="","",Calc!G140)</f>
        <v/>
      </c>
      <c r="D137">
        <f>IF(Calc!$A140="","",Calc!E140)</f>
        <v/>
      </c>
      <c r="E137">
        <f>IF(Calc!$A140="","",Calc!H140)</f>
        <v/>
      </c>
      <c r="F137">
        <f>IF(Calc!$A140="","",Calc!I140)</f>
        <v/>
      </c>
    </row>
    <row r="138">
      <c r="A138">
        <f>IF(Calc!$A141="","",Calc!$A141)</f>
        <v/>
      </c>
      <c r="B138">
        <f>IF(Calc!$A141="","",Calc!B141)</f>
        <v/>
      </c>
      <c r="C138">
        <f>IF(Calc!$A141="","",Calc!G141)</f>
        <v/>
      </c>
      <c r="D138">
        <f>IF(Calc!$A141="","",Calc!E141)</f>
        <v/>
      </c>
      <c r="E138">
        <f>IF(Calc!$A141="","",Calc!H141)</f>
        <v/>
      </c>
      <c r="F138">
        <f>IF(Calc!$A141="","",Calc!I141)</f>
        <v/>
      </c>
    </row>
    <row r="139">
      <c r="A139">
        <f>IF(Calc!$A142="","",Calc!$A142)</f>
        <v/>
      </c>
      <c r="B139">
        <f>IF(Calc!$A142="","",Calc!B142)</f>
        <v/>
      </c>
      <c r="C139">
        <f>IF(Calc!$A142="","",Calc!G142)</f>
        <v/>
      </c>
      <c r="D139">
        <f>IF(Calc!$A142="","",Calc!E142)</f>
        <v/>
      </c>
      <c r="E139">
        <f>IF(Calc!$A142="","",Calc!H142)</f>
        <v/>
      </c>
      <c r="F139">
        <f>IF(Calc!$A142="","",Calc!I142)</f>
        <v/>
      </c>
    </row>
    <row r="140">
      <c r="A140">
        <f>IF(Calc!$A143="","",Calc!$A143)</f>
        <v/>
      </c>
      <c r="B140">
        <f>IF(Calc!$A143="","",Calc!B143)</f>
        <v/>
      </c>
      <c r="C140">
        <f>IF(Calc!$A143="","",Calc!G143)</f>
        <v/>
      </c>
      <c r="D140">
        <f>IF(Calc!$A143="","",Calc!E143)</f>
        <v/>
      </c>
      <c r="E140">
        <f>IF(Calc!$A143="","",Calc!H143)</f>
        <v/>
      </c>
      <c r="F140">
        <f>IF(Calc!$A143="","",Calc!I143)</f>
        <v/>
      </c>
    </row>
    <row r="141">
      <c r="A141">
        <f>IF(Calc!$A144="","",Calc!$A144)</f>
        <v/>
      </c>
      <c r="B141">
        <f>IF(Calc!$A144="","",Calc!B144)</f>
        <v/>
      </c>
      <c r="C141">
        <f>IF(Calc!$A144="","",Calc!G144)</f>
        <v/>
      </c>
      <c r="D141">
        <f>IF(Calc!$A144="","",Calc!E144)</f>
        <v/>
      </c>
      <c r="E141">
        <f>IF(Calc!$A144="","",Calc!H144)</f>
        <v/>
      </c>
      <c r="F141">
        <f>IF(Calc!$A144="","",Calc!I144)</f>
        <v/>
      </c>
    </row>
    <row r="142">
      <c r="A142">
        <f>IF(Calc!$A145="","",Calc!$A145)</f>
        <v/>
      </c>
      <c r="B142">
        <f>IF(Calc!$A145="","",Calc!B145)</f>
        <v/>
      </c>
      <c r="C142">
        <f>IF(Calc!$A145="","",Calc!G145)</f>
        <v/>
      </c>
      <c r="D142">
        <f>IF(Calc!$A145="","",Calc!E145)</f>
        <v/>
      </c>
      <c r="E142">
        <f>IF(Calc!$A145="","",Calc!H145)</f>
        <v/>
      </c>
      <c r="F142">
        <f>IF(Calc!$A145="","",Calc!I145)</f>
        <v/>
      </c>
    </row>
    <row r="143">
      <c r="A143">
        <f>IF(Calc!$A146="","",Calc!$A146)</f>
        <v/>
      </c>
      <c r="B143">
        <f>IF(Calc!$A146="","",Calc!B146)</f>
        <v/>
      </c>
      <c r="C143">
        <f>IF(Calc!$A146="","",Calc!G146)</f>
        <v/>
      </c>
      <c r="D143">
        <f>IF(Calc!$A146="","",Calc!E146)</f>
        <v/>
      </c>
      <c r="E143">
        <f>IF(Calc!$A146="","",Calc!H146)</f>
        <v/>
      </c>
      <c r="F143">
        <f>IF(Calc!$A146="","",Calc!I146)</f>
        <v/>
      </c>
    </row>
    <row r="144">
      <c r="A144">
        <f>IF(Calc!$A147="","",Calc!$A147)</f>
        <v/>
      </c>
      <c r="B144">
        <f>IF(Calc!$A147="","",Calc!B147)</f>
        <v/>
      </c>
      <c r="C144">
        <f>IF(Calc!$A147="","",Calc!G147)</f>
        <v/>
      </c>
      <c r="D144">
        <f>IF(Calc!$A147="","",Calc!E147)</f>
        <v/>
      </c>
      <c r="E144">
        <f>IF(Calc!$A147="","",Calc!H147)</f>
        <v/>
      </c>
      <c r="F144">
        <f>IF(Calc!$A147="","",Calc!I147)</f>
        <v/>
      </c>
    </row>
    <row r="145">
      <c r="A145">
        <f>IF(Calc!$A148="","",Calc!$A148)</f>
        <v/>
      </c>
      <c r="B145">
        <f>IF(Calc!$A148="","",Calc!B148)</f>
        <v/>
      </c>
      <c r="C145">
        <f>IF(Calc!$A148="","",Calc!G148)</f>
        <v/>
      </c>
      <c r="D145">
        <f>IF(Calc!$A148="","",Calc!E148)</f>
        <v/>
      </c>
      <c r="E145">
        <f>IF(Calc!$A148="","",Calc!H148)</f>
        <v/>
      </c>
      <c r="F145">
        <f>IF(Calc!$A148="","",Calc!I148)</f>
        <v/>
      </c>
    </row>
    <row r="146">
      <c r="A146">
        <f>IF(Calc!$A149="","",Calc!$A149)</f>
        <v/>
      </c>
      <c r="B146">
        <f>IF(Calc!$A149="","",Calc!B149)</f>
        <v/>
      </c>
      <c r="C146">
        <f>IF(Calc!$A149="","",Calc!G149)</f>
        <v/>
      </c>
      <c r="D146">
        <f>IF(Calc!$A149="","",Calc!E149)</f>
        <v/>
      </c>
      <c r="E146">
        <f>IF(Calc!$A149="","",Calc!H149)</f>
        <v/>
      </c>
      <c r="F146">
        <f>IF(Calc!$A149="","",Calc!I149)</f>
        <v/>
      </c>
    </row>
    <row r="147">
      <c r="A147">
        <f>IF(Calc!$A150="","",Calc!$A150)</f>
        <v/>
      </c>
      <c r="B147">
        <f>IF(Calc!$A150="","",Calc!B150)</f>
        <v/>
      </c>
      <c r="C147">
        <f>IF(Calc!$A150="","",Calc!G150)</f>
        <v/>
      </c>
      <c r="D147">
        <f>IF(Calc!$A150="","",Calc!E150)</f>
        <v/>
      </c>
      <c r="E147">
        <f>IF(Calc!$A150="","",Calc!H150)</f>
        <v/>
      </c>
      <c r="F147">
        <f>IF(Calc!$A150="","",Calc!I150)</f>
        <v/>
      </c>
    </row>
    <row r="148">
      <c r="A148">
        <f>IF(Calc!$A151="","",Calc!$A151)</f>
        <v/>
      </c>
      <c r="B148">
        <f>IF(Calc!$A151="","",Calc!B151)</f>
        <v/>
      </c>
      <c r="C148">
        <f>IF(Calc!$A151="","",Calc!G151)</f>
        <v/>
      </c>
      <c r="D148">
        <f>IF(Calc!$A151="","",Calc!E151)</f>
        <v/>
      </c>
      <c r="E148">
        <f>IF(Calc!$A151="","",Calc!H151)</f>
        <v/>
      </c>
      <c r="F148">
        <f>IF(Calc!$A151="","",Calc!I151)</f>
        <v/>
      </c>
    </row>
    <row r="149">
      <c r="A149">
        <f>IF(Calc!$A152="","",Calc!$A152)</f>
        <v/>
      </c>
      <c r="B149">
        <f>IF(Calc!$A152="","",Calc!B152)</f>
        <v/>
      </c>
      <c r="C149">
        <f>IF(Calc!$A152="","",Calc!G152)</f>
        <v/>
      </c>
      <c r="D149">
        <f>IF(Calc!$A152="","",Calc!E152)</f>
        <v/>
      </c>
      <c r="E149">
        <f>IF(Calc!$A152="","",Calc!H152)</f>
        <v/>
      </c>
      <c r="F149">
        <f>IF(Calc!$A152="","",Calc!I152)</f>
        <v/>
      </c>
    </row>
    <row r="150">
      <c r="A150">
        <f>IF(Calc!$A153="","",Calc!$A153)</f>
        <v/>
      </c>
      <c r="B150">
        <f>IF(Calc!$A153="","",Calc!B153)</f>
        <v/>
      </c>
      <c r="C150">
        <f>IF(Calc!$A153="","",Calc!G153)</f>
        <v/>
      </c>
      <c r="D150">
        <f>IF(Calc!$A153="","",Calc!E153)</f>
        <v/>
      </c>
      <c r="E150">
        <f>IF(Calc!$A153="","",Calc!H153)</f>
        <v/>
      </c>
      <c r="F150">
        <f>IF(Calc!$A153="","",Calc!I153)</f>
        <v/>
      </c>
    </row>
    <row r="151">
      <c r="A151">
        <f>IF(Calc!$A154="","",Calc!$A154)</f>
        <v/>
      </c>
      <c r="B151">
        <f>IF(Calc!$A154="","",Calc!B154)</f>
        <v/>
      </c>
      <c r="C151">
        <f>IF(Calc!$A154="","",Calc!G154)</f>
        <v/>
      </c>
      <c r="D151">
        <f>IF(Calc!$A154="","",Calc!E154)</f>
        <v/>
      </c>
      <c r="E151">
        <f>IF(Calc!$A154="","",Calc!H154)</f>
        <v/>
      </c>
      <c r="F151">
        <f>IF(Calc!$A154="","",Calc!I154)</f>
        <v/>
      </c>
    </row>
    <row r="152">
      <c r="A152">
        <f>IF(Calc!$A155="","",Calc!$A155)</f>
        <v/>
      </c>
      <c r="B152">
        <f>IF(Calc!$A155="","",Calc!B155)</f>
        <v/>
      </c>
      <c r="C152">
        <f>IF(Calc!$A155="","",Calc!G155)</f>
        <v/>
      </c>
      <c r="D152">
        <f>IF(Calc!$A155="","",Calc!E155)</f>
        <v/>
      </c>
      <c r="E152">
        <f>IF(Calc!$A155="","",Calc!H155)</f>
        <v/>
      </c>
      <c r="F152">
        <f>IF(Calc!$A155="","",Calc!I155)</f>
        <v/>
      </c>
    </row>
    <row r="153">
      <c r="A153">
        <f>IF(Calc!$A156="","",Calc!$A156)</f>
        <v/>
      </c>
      <c r="B153">
        <f>IF(Calc!$A156="","",Calc!B156)</f>
        <v/>
      </c>
      <c r="C153">
        <f>IF(Calc!$A156="","",Calc!G156)</f>
        <v/>
      </c>
      <c r="D153">
        <f>IF(Calc!$A156="","",Calc!E156)</f>
        <v/>
      </c>
      <c r="E153">
        <f>IF(Calc!$A156="","",Calc!H156)</f>
        <v/>
      </c>
      <c r="F153">
        <f>IF(Calc!$A156="","",Calc!I156)</f>
        <v/>
      </c>
    </row>
    <row r="154">
      <c r="A154">
        <f>IF(Calc!$A157="","",Calc!$A157)</f>
        <v/>
      </c>
      <c r="B154">
        <f>IF(Calc!$A157="","",Calc!B157)</f>
        <v/>
      </c>
      <c r="C154">
        <f>IF(Calc!$A157="","",Calc!G157)</f>
        <v/>
      </c>
      <c r="D154">
        <f>IF(Calc!$A157="","",Calc!E157)</f>
        <v/>
      </c>
      <c r="E154">
        <f>IF(Calc!$A157="","",Calc!H157)</f>
        <v/>
      </c>
      <c r="F154">
        <f>IF(Calc!$A157="","",Calc!I157)</f>
        <v/>
      </c>
    </row>
    <row r="155">
      <c r="A155">
        <f>IF(Calc!$A158="","",Calc!$A158)</f>
        <v/>
      </c>
      <c r="B155">
        <f>IF(Calc!$A158="","",Calc!B158)</f>
        <v/>
      </c>
      <c r="C155">
        <f>IF(Calc!$A158="","",Calc!G158)</f>
        <v/>
      </c>
      <c r="D155">
        <f>IF(Calc!$A158="","",Calc!E158)</f>
        <v/>
      </c>
      <c r="E155">
        <f>IF(Calc!$A158="","",Calc!H158)</f>
        <v/>
      </c>
      <c r="F155">
        <f>IF(Calc!$A158="","",Calc!I158)</f>
        <v/>
      </c>
    </row>
    <row r="156">
      <c r="A156">
        <f>IF(Calc!$A159="","",Calc!$A159)</f>
        <v/>
      </c>
      <c r="B156">
        <f>IF(Calc!$A159="","",Calc!B159)</f>
        <v/>
      </c>
      <c r="C156">
        <f>IF(Calc!$A159="","",Calc!G159)</f>
        <v/>
      </c>
      <c r="D156">
        <f>IF(Calc!$A159="","",Calc!E159)</f>
        <v/>
      </c>
      <c r="E156">
        <f>IF(Calc!$A159="","",Calc!H159)</f>
        <v/>
      </c>
      <c r="F156">
        <f>IF(Calc!$A159="","",Calc!I159)</f>
        <v/>
      </c>
    </row>
    <row r="157">
      <c r="A157">
        <f>IF(Calc!$A160="","",Calc!$A160)</f>
        <v/>
      </c>
      <c r="B157">
        <f>IF(Calc!$A160="","",Calc!B160)</f>
        <v/>
      </c>
      <c r="C157">
        <f>IF(Calc!$A160="","",Calc!G160)</f>
        <v/>
      </c>
      <c r="D157">
        <f>IF(Calc!$A160="","",Calc!E160)</f>
        <v/>
      </c>
      <c r="E157">
        <f>IF(Calc!$A160="","",Calc!H160)</f>
        <v/>
      </c>
      <c r="F157">
        <f>IF(Calc!$A160="","",Calc!I160)</f>
        <v/>
      </c>
    </row>
    <row r="158">
      <c r="A158">
        <f>IF(Calc!$A161="","",Calc!$A161)</f>
        <v/>
      </c>
      <c r="B158">
        <f>IF(Calc!$A161="","",Calc!B161)</f>
        <v/>
      </c>
      <c r="C158">
        <f>IF(Calc!$A161="","",Calc!G161)</f>
        <v/>
      </c>
      <c r="D158">
        <f>IF(Calc!$A161="","",Calc!E161)</f>
        <v/>
      </c>
      <c r="E158">
        <f>IF(Calc!$A161="","",Calc!H161)</f>
        <v/>
      </c>
      <c r="F158">
        <f>IF(Calc!$A161="","",Calc!I161)</f>
        <v/>
      </c>
    </row>
    <row r="159">
      <c r="A159">
        <f>IF(Calc!$A162="","",Calc!$A162)</f>
        <v/>
      </c>
      <c r="B159">
        <f>IF(Calc!$A162="","",Calc!B162)</f>
        <v/>
      </c>
      <c r="C159">
        <f>IF(Calc!$A162="","",Calc!G162)</f>
        <v/>
      </c>
      <c r="D159">
        <f>IF(Calc!$A162="","",Calc!E162)</f>
        <v/>
      </c>
      <c r="E159">
        <f>IF(Calc!$A162="","",Calc!H162)</f>
        <v/>
      </c>
      <c r="F159">
        <f>IF(Calc!$A162="","",Calc!I162)</f>
        <v/>
      </c>
    </row>
    <row r="160">
      <c r="A160">
        <f>IF(Calc!$A163="","",Calc!$A163)</f>
        <v/>
      </c>
      <c r="B160">
        <f>IF(Calc!$A163="","",Calc!B163)</f>
        <v/>
      </c>
      <c r="C160">
        <f>IF(Calc!$A163="","",Calc!G163)</f>
        <v/>
      </c>
      <c r="D160">
        <f>IF(Calc!$A163="","",Calc!E163)</f>
        <v/>
      </c>
      <c r="E160">
        <f>IF(Calc!$A163="","",Calc!H163)</f>
        <v/>
      </c>
      <c r="F160">
        <f>IF(Calc!$A163="","",Calc!I163)</f>
        <v/>
      </c>
    </row>
    <row r="161">
      <c r="A161">
        <f>IF(Calc!$A164="","",Calc!$A164)</f>
        <v/>
      </c>
      <c r="B161">
        <f>IF(Calc!$A164="","",Calc!B164)</f>
        <v/>
      </c>
      <c r="C161">
        <f>IF(Calc!$A164="","",Calc!G164)</f>
        <v/>
      </c>
      <c r="D161">
        <f>IF(Calc!$A164="","",Calc!E164)</f>
        <v/>
      </c>
      <c r="E161">
        <f>IF(Calc!$A164="","",Calc!H164)</f>
        <v/>
      </c>
      <c r="F161">
        <f>IF(Calc!$A164="","",Calc!I164)</f>
        <v/>
      </c>
    </row>
    <row r="162">
      <c r="A162">
        <f>IF(Calc!$A165="","",Calc!$A165)</f>
        <v/>
      </c>
      <c r="B162">
        <f>IF(Calc!$A165="","",Calc!B165)</f>
        <v/>
      </c>
      <c r="C162">
        <f>IF(Calc!$A165="","",Calc!G165)</f>
        <v/>
      </c>
      <c r="D162">
        <f>IF(Calc!$A165="","",Calc!E165)</f>
        <v/>
      </c>
      <c r="E162">
        <f>IF(Calc!$A165="","",Calc!H165)</f>
        <v/>
      </c>
      <c r="F162">
        <f>IF(Calc!$A165="","",Calc!I165)</f>
        <v/>
      </c>
    </row>
    <row r="163">
      <c r="A163">
        <f>IF(Calc!$A166="","",Calc!$A166)</f>
        <v/>
      </c>
      <c r="B163">
        <f>IF(Calc!$A166="","",Calc!B166)</f>
        <v/>
      </c>
      <c r="C163">
        <f>IF(Calc!$A166="","",Calc!G166)</f>
        <v/>
      </c>
      <c r="D163">
        <f>IF(Calc!$A166="","",Calc!E166)</f>
        <v/>
      </c>
      <c r="E163">
        <f>IF(Calc!$A166="","",Calc!H166)</f>
        <v/>
      </c>
      <c r="F163">
        <f>IF(Calc!$A166="","",Calc!I166)</f>
        <v/>
      </c>
    </row>
    <row r="164">
      <c r="A164">
        <f>IF(Calc!$A167="","",Calc!$A167)</f>
        <v/>
      </c>
      <c r="B164">
        <f>IF(Calc!$A167="","",Calc!B167)</f>
        <v/>
      </c>
      <c r="C164">
        <f>IF(Calc!$A167="","",Calc!G167)</f>
        <v/>
      </c>
      <c r="D164">
        <f>IF(Calc!$A167="","",Calc!E167)</f>
        <v/>
      </c>
      <c r="E164">
        <f>IF(Calc!$A167="","",Calc!H167)</f>
        <v/>
      </c>
      <c r="F164">
        <f>IF(Calc!$A167="","",Calc!I167)</f>
        <v/>
      </c>
    </row>
    <row r="165">
      <c r="A165">
        <f>IF(Calc!$A168="","",Calc!$A168)</f>
        <v/>
      </c>
      <c r="B165">
        <f>IF(Calc!$A168="","",Calc!B168)</f>
        <v/>
      </c>
      <c r="C165">
        <f>IF(Calc!$A168="","",Calc!G168)</f>
        <v/>
      </c>
      <c r="D165">
        <f>IF(Calc!$A168="","",Calc!E168)</f>
        <v/>
      </c>
      <c r="E165">
        <f>IF(Calc!$A168="","",Calc!H168)</f>
        <v/>
      </c>
      <c r="F165">
        <f>IF(Calc!$A168="","",Calc!I168)</f>
        <v/>
      </c>
    </row>
    <row r="166">
      <c r="A166">
        <f>IF(Calc!$A169="","",Calc!$A169)</f>
        <v/>
      </c>
      <c r="B166">
        <f>IF(Calc!$A169="","",Calc!B169)</f>
        <v/>
      </c>
      <c r="C166">
        <f>IF(Calc!$A169="","",Calc!G169)</f>
        <v/>
      </c>
      <c r="D166">
        <f>IF(Calc!$A169="","",Calc!E169)</f>
        <v/>
      </c>
      <c r="E166">
        <f>IF(Calc!$A169="","",Calc!H169)</f>
        <v/>
      </c>
      <c r="F166">
        <f>IF(Calc!$A169="","",Calc!I169)</f>
        <v/>
      </c>
    </row>
    <row r="167">
      <c r="A167">
        <f>IF(Calc!$A170="","",Calc!$A170)</f>
        <v/>
      </c>
      <c r="B167">
        <f>IF(Calc!$A170="","",Calc!B170)</f>
        <v/>
      </c>
      <c r="C167">
        <f>IF(Calc!$A170="","",Calc!G170)</f>
        <v/>
      </c>
      <c r="D167">
        <f>IF(Calc!$A170="","",Calc!E170)</f>
        <v/>
      </c>
      <c r="E167">
        <f>IF(Calc!$A170="","",Calc!H170)</f>
        <v/>
      </c>
      <c r="F167">
        <f>IF(Calc!$A170="","",Calc!I170)</f>
        <v/>
      </c>
    </row>
    <row r="168">
      <c r="A168">
        <f>IF(Calc!$A171="","",Calc!$A171)</f>
        <v/>
      </c>
      <c r="B168">
        <f>IF(Calc!$A171="","",Calc!B171)</f>
        <v/>
      </c>
      <c r="C168">
        <f>IF(Calc!$A171="","",Calc!G171)</f>
        <v/>
      </c>
      <c r="D168">
        <f>IF(Calc!$A171="","",Calc!E171)</f>
        <v/>
      </c>
      <c r="E168">
        <f>IF(Calc!$A171="","",Calc!H171)</f>
        <v/>
      </c>
      <c r="F168">
        <f>IF(Calc!$A171="","",Calc!I171)</f>
        <v/>
      </c>
    </row>
    <row r="169">
      <c r="A169">
        <f>IF(Calc!$A172="","",Calc!$A172)</f>
        <v/>
      </c>
      <c r="B169">
        <f>IF(Calc!$A172="","",Calc!B172)</f>
        <v/>
      </c>
      <c r="C169">
        <f>IF(Calc!$A172="","",Calc!G172)</f>
        <v/>
      </c>
      <c r="D169">
        <f>IF(Calc!$A172="","",Calc!E172)</f>
        <v/>
      </c>
      <c r="E169">
        <f>IF(Calc!$A172="","",Calc!H172)</f>
        <v/>
      </c>
      <c r="F169">
        <f>IF(Calc!$A172="","",Calc!I172)</f>
        <v/>
      </c>
    </row>
    <row r="170">
      <c r="A170">
        <f>IF(Calc!$A173="","",Calc!$A173)</f>
        <v/>
      </c>
      <c r="B170">
        <f>IF(Calc!$A173="","",Calc!B173)</f>
        <v/>
      </c>
      <c r="C170">
        <f>IF(Calc!$A173="","",Calc!G173)</f>
        <v/>
      </c>
      <c r="D170">
        <f>IF(Calc!$A173="","",Calc!E173)</f>
        <v/>
      </c>
      <c r="E170">
        <f>IF(Calc!$A173="","",Calc!H173)</f>
        <v/>
      </c>
      <c r="F170">
        <f>IF(Calc!$A173="","",Calc!I173)</f>
        <v/>
      </c>
    </row>
    <row r="171">
      <c r="A171">
        <f>IF(Calc!$A174="","",Calc!$A174)</f>
        <v/>
      </c>
      <c r="B171">
        <f>IF(Calc!$A174="","",Calc!B174)</f>
        <v/>
      </c>
      <c r="C171">
        <f>IF(Calc!$A174="","",Calc!G174)</f>
        <v/>
      </c>
      <c r="D171">
        <f>IF(Calc!$A174="","",Calc!E174)</f>
        <v/>
      </c>
      <c r="E171">
        <f>IF(Calc!$A174="","",Calc!H174)</f>
        <v/>
      </c>
      <c r="F171">
        <f>IF(Calc!$A174="","",Calc!I174)</f>
        <v/>
      </c>
    </row>
    <row r="172">
      <c r="A172">
        <f>IF(Calc!$A175="","",Calc!$A175)</f>
        <v/>
      </c>
      <c r="B172">
        <f>IF(Calc!$A175="","",Calc!B175)</f>
        <v/>
      </c>
      <c r="C172">
        <f>IF(Calc!$A175="","",Calc!G175)</f>
        <v/>
      </c>
      <c r="D172">
        <f>IF(Calc!$A175="","",Calc!E175)</f>
        <v/>
      </c>
      <c r="E172">
        <f>IF(Calc!$A175="","",Calc!H175)</f>
        <v/>
      </c>
      <c r="F172">
        <f>IF(Calc!$A175="","",Calc!I175)</f>
        <v/>
      </c>
    </row>
    <row r="173">
      <c r="A173">
        <f>IF(Calc!$A176="","",Calc!$A176)</f>
        <v/>
      </c>
      <c r="B173">
        <f>IF(Calc!$A176="","",Calc!B176)</f>
        <v/>
      </c>
      <c r="C173">
        <f>IF(Calc!$A176="","",Calc!G176)</f>
        <v/>
      </c>
      <c r="D173">
        <f>IF(Calc!$A176="","",Calc!E176)</f>
        <v/>
      </c>
      <c r="E173">
        <f>IF(Calc!$A176="","",Calc!H176)</f>
        <v/>
      </c>
      <c r="F173">
        <f>IF(Calc!$A176="","",Calc!I176)</f>
        <v/>
      </c>
    </row>
    <row r="174">
      <c r="A174">
        <f>IF(Calc!$A177="","",Calc!$A177)</f>
        <v/>
      </c>
      <c r="B174">
        <f>IF(Calc!$A177="","",Calc!B177)</f>
        <v/>
      </c>
      <c r="C174">
        <f>IF(Calc!$A177="","",Calc!G177)</f>
        <v/>
      </c>
      <c r="D174">
        <f>IF(Calc!$A177="","",Calc!E177)</f>
        <v/>
      </c>
      <c r="E174">
        <f>IF(Calc!$A177="","",Calc!H177)</f>
        <v/>
      </c>
      <c r="F174">
        <f>IF(Calc!$A177="","",Calc!I177)</f>
        <v/>
      </c>
    </row>
    <row r="175">
      <c r="A175">
        <f>IF(Calc!$A178="","",Calc!$A178)</f>
        <v/>
      </c>
      <c r="B175">
        <f>IF(Calc!$A178="","",Calc!B178)</f>
        <v/>
      </c>
      <c r="C175">
        <f>IF(Calc!$A178="","",Calc!G178)</f>
        <v/>
      </c>
      <c r="D175">
        <f>IF(Calc!$A178="","",Calc!E178)</f>
        <v/>
      </c>
      <c r="E175">
        <f>IF(Calc!$A178="","",Calc!H178)</f>
        <v/>
      </c>
      <c r="F175">
        <f>IF(Calc!$A178="","",Calc!I178)</f>
        <v/>
      </c>
    </row>
    <row r="176">
      <c r="A176">
        <f>IF(Calc!$A179="","",Calc!$A179)</f>
        <v/>
      </c>
      <c r="B176">
        <f>IF(Calc!$A179="","",Calc!B179)</f>
        <v/>
      </c>
      <c r="C176">
        <f>IF(Calc!$A179="","",Calc!G179)</f>
        <v/>
      </c>
      <c r="D176">
        <f>IF(Calc!$A179="","",Calc!E179)</f>
        <v/>
      </c>
      <c r="E176">
        <f>IF(Calc!$A179="","",Calc!H179)</f>
        <v/>
      </c>
      <c r="F176">
        <f>IF(Calc!$A179="","",Calc!I179)</f>
        <v/>
      </c>
    </row>
    <row r="177">
      <c r="A177">
        <f>IF(Calc!$A180="","",Calc!$A180)</f>
        <v/>
      </c>
      <c r="B177">
        <f>IF(Calc!$A180="","",Calc!B180)</f>
        <v/>
      </c>
      <c r="C177">
        <f>IF(Calc!$A180="","",Calc!G180)</f>
        <v/>
      </c>
      <c r="D177">
        <f>IF(Calc!$A180="","",Calc!E180)</f>
        <v/>
      </c>
      <c r="E177">
        <f>IF(Calc!$A180="","",Calc!H180)</f>
        <v/>
      </c>
      <c r="F177">
        <f>IF(Calc!$A180="","",Calc!I180)</f>
        <v/>
      </c>
    </row>
    <row r="178">
      <c r="A178">
        <f>IF(Calc!$A181="","",Calc!$A181)</f>
        <v/>
      </c>
      <c r="B178">
        <f>IF(Calc!$A181="","",Calc!B181)</f>
        <v/>
      </c>
      <c r="C178">
        <f>IF(Calc!$A181="","",Calc!G181)</f>
        <v/>
      </c>
      <c r="D178">
        <f>IF(Calc!$A181="","",Calc!E181)</f>
        <v/>
      </c>
      <c r="E178">
        <f>IF(Calc!$A181="","",Calc!H181)</f>
        <v/>
      </c>
      <c r="F178">
        <f>IF(Calc!$A181="","",Calc!I181)</f>
        <v/>
      </c>
    </row>
    <row r="179">
      <c r="A179">
        <f>IF(Calc!$A182="","",Calc!$A182)</f>
        <v/>
      </c>
      <c r="B179">
        <f>IF(Calc!$A182="","",Calc!B182)</f>
        <v/>
      </c>
      <c r="C179">
        <f>IF(Calc!$A182="","",Calc!G182)</f>
        <v/>
      </c>
      <c r="D179">
        <f>IF(Calc!$A182="","",Calc!E182)</f>
        <v/>
      </c>
      <c r="E179">
        <f>IF(Calc!$A182="","",Calc!H182)</f>
        <v/>
      </c>
      <c r="F179">
        <f>IF(Calc!$A182="","",Calc!I182)</f>
        <v/>
      </c>
    </row>
    <row r="180">
      <c r="A180">
        <f>IF(Calc!$A183="","",Calc!$A183)</f>
        <v/>
      </c>
      <c r="B180">
        <f>IF(Calc!$A183="","",Calc!B183)</f>
        <v/>
      </c>
      <c r="C180">
        <f>IF(Calc!$A183="","",Calc!G183)</f>
        <v/>
      </c>
      <c r="D180">
        <f>IF(Calc!$A183="","",Calc!E183)</f>
        <v/>
      </c>
      <c r="E180">
        <f>IF(Calc!$A183="","",Calc!H183)</f>
        <v/>
      </c>
      <c r="F180">
        <f>IF(Calc!$A183="","",Calc!I183)</f>
        <v/>
      </c>
    </row>
    <row r="181">
      <c r="A181">
        <f>IF(Calc!$A184="","",Calc!$A184)</f>
        <v/>
      </c>
      <c r="B181">
        <f>IF(Calc!$A184="","",Calc!B184)</f>
        <v/>
      </c>
      <c r="C181">
        <f>IF(Calc!$A184="","",Calc!G184)</f>
        <v/>
      </c>
      <c r="D181">
        <f>IF(Calc!$A184="","",Calc!E184)</f>
        <v/>
      </c>
      <c r="E181">
        <f>IF(Calc!$A184="","",Calc!H184)</f>
        <v/>
      </c>
      <c r="F181">
        <f>IF(Calc!$A184="","",Calc!I184)</f>
        <v/>
      </c>
    </row>
    <row r="182">
      <c r="A182">
        <f>IF(Calc!$A185="","",Calc!$A185)</f>
        <v/>
      </c>
      <c r="B182">
        <f>IF(Calc!$A185="","",Calc!B185)</f>
        <v/>
      </c>
      <c r="C182">
        <f>IF(Calc!$A185="","",Calc!G185)</f>
        <v/>
      </c>
      <c r="D182">
        <f>IF(Calc!$A185="","",Calc!E185)</f>
        <v/>
      </c>
      <c r="E182">
        <f>IF(Calc!$A185="","",Calc!H185)</f>
        <v/>
      </c>
      <c r="F182">
        <f>IF(Calc!$A185="","",Calc!I185)</f>
        <v/>
      </c>
    </row>
    <row r="183">
      <c r="A183">
        <f>IF(Calc!$A186="","",Calc!$A186)</f>
        <v/>
      </c>
      <c r="B183">
        <f>IF(Calc!$A186="","",Calc!B186)</f>
        <v/>
      </c>
      <c r="C183">
        <f>IF(Calc!$A186="","",Calc!G186)</f>
        <v/>
      </c>
      <c r="D183">
        <f>IF(Calc!$A186="","",Calc!E186)</f>
        <v/>
      </c>
      <c r="E183">
        <f>IF(Calc!$A186="","",Calc!H186)</f>
        <v/>
      </c>
      <c r="F183">
        <f>IF(Calc!$A186="","",Calc!I186)</f>
        <v/>
      </c>
    </row>
    <row r="184">
      <c r="A184">
        <f>IF(Calc!$A187="","",Calc!$A187)</f>
        <v/>
      </c>
      <c r="B184">
        <f>IF(Calc!$A187="","",Calc!B187)</f>
        <v/>
      </c>
      <c r="C184">
        <f>IF(Calc!$A187="","",Calc!G187)</f>
        <v/>
      </c>
      <c r="D184">
        <f>IF(Calc!$A187="","",Calc!E187)</f>
        <v/>
      </c>
      <c r="E184">
        <f>IF(Calc!$A187="","",Calc!H187)</f>
        <v/>
      </c>
      <c r="F184">
        <f>IF(Calc!$A187="","",Calc!I187)</f>
        <v/>
      </c>
    </row>
    <row r="185">
      <c r="A185">
        <f>IF(Calc!$A188="","",Calc!$A188)</f>
        <v/>
      </c>
      <c r="B185">
        <f>IF(Calc!$A188="","",Calc!B188)</f>
        <v/>
      </c>
      <c r="C185">
        <f>IF(Calc!$A188="","",Calc!G188)</f>
        <v/>
      </c>
      <c r="D185">
        <f>IF(Calc!$A188="","",Calc!E188)</f>
        <v/>
      </c>
      <c r="E185">
        <f>IF(Calc!$A188="","",Calc!H188)</f>
        <v/>
      </c>
      <c r="F185">
        <f>IF(Calc!$A188="","",Calc!I188)</f>
        <v/>
      </c>
    </row>
    <row r="186">
      <c r="A186">
        <f>IF(Calc!$A189="","",Calc!$A189)</f>
        <v/>
      </c>
      <c r="B186">
        <f>IF(Calc!$A189="","",Calc!B189)</f>
        <v/>
      </c>
      <c r="C186">
        <f>IF(Calc!$A189="","",Calc!G189)</f>
        <v/>
      </c>
      <c r="D186">
        <f>IF(Calc!$A189="","",Calc!E189)</f>
        <v/>
      </c>
      <c r="E186">
        <f>IF(Calc!$A189="","",Calc!H189)</f>
        <v/>
      </c>
      <c r="F186">
        <f>IF(Calc!$A189="","",Calc!I189)</f>
        <v/>
      </c>
    </row>
    <row r="187">
      <c r="A187">
        <f>IF(Calc!$A190="","",Calc!$A190)</f>
        <v/>
      </c>
      <c r="B187">
        <f>IF(Calc!$A190="","",Calc!B190)</f>
        <v/>
      </c>
      <c r="C187">
        <f>IF(Calc!$A190="","",Calc!G190)</f>
        <v/>
      </c>
      <c r="D187">
        <f>IF(Calc!$A190="","",Calc!E190)</f>
        <v/>
      </c>
      <c r="E187">
        <f>IF(Calc!$A190="","",Calc!H190)</f>
        <v/>
      </c>
      <c r="F187">
        <f>IF(Calc!$A190="","",Calc!I190)</f>
        <v/>
      </c>
    </row>
    <row r="188">
      <c r="A188">
        <f>IF(Calc!$A191="","",Calc!$A191)</f>
        <v/>
      </c>
      <c r="B188">
        <f>IF(Calc!$A191="","",Calc!B191)</f>
        <v/>
      </c>
      <c r="C188">
        <f>IF(Calc!$A191="","",Calc!G191)</f>
        <v/>
      </c>
      <c r="D188">
        <f>IF(Calc!$A191="","",Calc!E191)</f>
        <v/>
      </c>
      <c r="E188">
        <f>IF(Calc!$A191="","",Calc!H191)</f>
        <v/>
      </c>
      <c r="F188">
        <f>IF(Calc!$A191="","",Calc!I191)</f>
        <v/>
      </c>
    </row>
    <row r="189">
      <c r="A189">
        <f>IF(Calc!$A192="","",Calc!$A192)</f>
        <v/>
      </c>
      <c r="B189">
        <f>IF(Calc!$A192="","",Calc!B192)</f>
        <v/>
      </c>
      <c r="C189">
        <f>IF(Calc!$A192="","",Calc!G192)</f>
        <v/>
      </c>
      <c r="D189">
        <f>IF(Calc!$A192="","",Calc!E192)</f>
        <v/>
      </c>
      <c r="E189">
        <f>IF(Calc!$A192="","",Calc!H192)</f>
        <v/>
      </c>
      <c r="F189">
        <f>IF(Calc!$A192="","",Calc!I192)</f>
        <v/>
      </c>
    </row>
    <row r="190">
      <c r="A190">
        <f>IF(Calc!$A193="","",Calc!$A193)</f>
        <v/>
      </c>
      <c r="B190">
        <f>IF(Calc!$A193="","",Calc!B193)</f>
        <v/>
      </c>
      <c r="C190">
        <f>IF(Calc!$A193="","",Calc!G193)</f>
        <v/>
      </c>
      <c r="D190">
        <f>IF(Calc!$A193="","",Calc!E193)</f>
        <v/>
      </c>
      <c r="E190">
        <f>IF(Calc!$A193="","",Calc!H193)</f>
        <v/>
      </c>
      <c r="F190">
        <f>IF(Calc!$A193="","",Calc!I193)</f>
        <v/>
      </c>
    </row>
    <row r="191">
      <c r="A191">
        <f>IF(Calc!$A194="","",Calc!$A194)</f>
        <v/>
      </c>
      <c r="B191">
        <f>IF(Calc!$A194="","",Calc!B194)</f>
        <v/>
      </c>
      <c r="C191">
        <f>IF(Calc!$A194="","",Calc!G194)</f>
        <v/>
      </c>
      <c r="D191">
        <f>IF(Calc!$A194="","",Calc!E194)</f>
        <v/>
      </c>
      <c r="E191">
        <f>IF(Calc!$A194="","",Calc!H194)</f>
        <v/>
      </c>
      <c r="F191">
        <f>IF(Calc!$A194="","",Calc!I194)</f>
        <v/>
      </c>
    </row>
    <row r="192">
      <c r="A192">
        <f>IF(Calc!$A195="","",Calc!$A195)</f>
        <v/>
      </c>
      <c r="B192">
        <f>IF(Calc!$A195="","",Calc!B195)</f>
        <v/>
      </c>
      <c r="C192">
        <f>IF(Calc!$A195="","",Calc!G195)</f>
        <v/>
      </c>
      <c r="D192">
        <f>IF(Calc!$A195="","",Calc!E195)</f>
        <v/>
      </c>
      <c r="E192">
        <f>IF(Calc!$A195="","",Calc!H195)</f>
        <v/>
      </c>
      <c r="F192">
        <f>IF(Calc!$A195="","",Calc!I195)</f>
        <v/>
      </c>
    </row>
    <row r="193">
      <c r="A193">
        <f>IF(Calc!$A196="","",Calc!$A196)</f>
        <v/>
      </c>
      <c r="B193">
        <f>IF(Calc!$A196="","",Calc!B196)</f>
        <v/>
      </c>
      <c r="C193">
        <f>IF(Calc!$A196="","",Calc!G196)</f>
        <v/>
      </c>
      <c r="D193">
        <f>IF(Calc!$A196="","",Calc!E196)</f>
        <v/>
      </c>
      <c r="E193">
        <f>IF(Calc!$A196="","",Calc!H196)</f>
        <v/>
      </c>
      <c r="F193">
        <f>IF(Calc!$A196="","",Calc!I196)</f>
        <v/>
      </c>
    </row>
    <row r="194">
      <c r="A194">
        <f>IF(Calc!$A197="","",Calc!$A197)</f>
        <v/>
      </c>
      <c r="B194">
        <f>IF(Calc!$A197="","",Calc!B197)</f>
        <v/>
      </c>
      <c r="C194">
        <f>IF(Calc!$A197="","",Calc!G197)</f>
        <v/>
      </c>
      <c r="D194">
        <f>IF(Calc!$A197="","",Calc!E197)</f>
        <v/>
      </c>
      <c r="E194">
        <f>IF(Calc!$A197="","",Calc!H197)</f>
        <v/>
      </c>
      <c r="F194">
        <f>IF(Calc!$A197="","",Calc!I197)</f>
        <v/>
      </c>
    </row>
    <row r="195">
      <c r="A195">
        <f>IF(Calc!$A198="","",Calc!$A198)</f>
        <v/>
      </c>
      <c r="B195">
        <f>IF(Calc!$A198="","",Calc!B198)</f>
        <v/>
      </c>
      <c r="C195">
        <f>IF(Calc!$A198="","",Calc!G198)</f>
        <v/>
      </c>
      <c r="D195">
        <f>IF(Calc!$A198="","",Calc!E198)</f>
        <v/>
      </c>
      <c r="E195">
        <f>IF(Calc!$A198="","",Calc!H198)</f>
        <v/>
      </c>
      <c r="F195">
        <f>IF(Calc!$A198="","",Calc!I198)</f>
        <v/>
      </c>
    </row>
    <row r="196">
      <c r="A196">
        <f>IF(Calc!$A199="","",Calc!$A199)</f>
        <v/>
      </c>
      <c r="B196">
        <f>IF(Calc!$A199="","",Calc!B199)</f>
        <v/>
      </c>
      <c r="C196">
        <f>IF(Calc!$A199="","",Calc!G199)</f>
        <v/>
      </c>
      <c r="D196">
        <f>IF(Calc!$A199="","",Calc!E199)</f>
        <v/>
      </c>
      <c r="E196">
        <f>IF(Calc!$A199="","",Calc!H199)</f>
        <v/>
      </c>
      <c r="F196">
        <f>IF(Calc!$A199="","",Calc!I199)</f>
        <v/>
      </c>
    </row>
    <row r="197">
      <c r="A197">
        <f>IF(Calc!$A200="","",Calc!$A200)</f>
        <v/>
      </c>
      <c r="B197">
        <f>IF(Calc!$A200="","",Calc!B200)</f>
        <v/>
      </c>
      <c r="C197">
        <f>IF(Calc!$A200="","",Calc!G200)</f>
        <v/>
      </c>
      <c r="D197">
        <f>IF(Calc!$A200="","",Calc!E200)</f>
        <v/>
      </c>
      <c r="E197">
        <f>IF(Calc!$A200="","",Calc!H200)</f>
        <v/>
      </c>
      <c r="F197">
        <f>IF(Calc!$A200="","",Calc!I200)</f>
        <v/>
      </c>
    </row>
    <row r="198">
      <c r="A198">
        <f>IF(Calc!$A201="","",Calc!$A201)</f>
        <v/>
      </c>
      <c r="B198">
        <f>IF(Calc!$A201="","",Calc!B201)</f>
        <v/>
      </c>
      <c r="C198">
        <f>IF(Calc!$A201="","",Calc!G201)</f>
        <v/>
      </c>
      <c r="D198">
        <f>IF(Calc!$A201="","",Calc!E201)</f>
        <v/>
      </c>
      <c r="E198">
        <f>IF(Calc!$A201="","",Calc!H201)</f>
        <v/>
      </c>
      <c r="F198">
        <f>IF(Calc!$A201="","",Calc!I201)</f>
        <v/>
      </c>
    </row>
    <row r="199">
      <c r="A199">
        <f>IF(Calc!$A202="","",Calc!$A202)</f>
        <v/>
      </c>
      <c r="B199">
        <f>IF(Calc!$A202="","",Calc!B202)</f>
        <v/>
      </c>
      <c r="C199">
        <f>IF(Calc!$A202="","",Calc!G202)</f>
        <v/>
      </c>
      <c r="D199">
        <f>IF(Calc!$A202="","",Calc!E202)</f>
        <v/>
      </c>
      <c r="E199">
        <f>IF(Calc!$A202="","",Calc!H202)</f>
        <v/>
      </c>
      <c r="F199">
        <f>IF(Calc!$A202="","",Calc!I202)</f>
        <v/>
      </c>
    </row>
    <row r="200">
      <c r="A200">
        <f>IF(Calc!$A203="","",Calc!$A203)</f>
        <v/>
      </c>
      <c r="B200">
        <f>IF(Calc!$A203="","",Calc!B203)</f>
        <v/>
      </c>
      <c r="C200">
        <f>IF(Calc!$A203="","",Calc!G203)</f>
        <v/>
      </c>
      <c r="D200">
        <f>IF(Calc!$A203="","",Calc!E203)</f>
        <v/>
      </c>
      <c r="E200">
        <f>IF(Calc!$A203="","",Calc!H203)</f>
        <v/>
      </c>
      <c r="F200">
        <f>IF(Calc!$A203="","",Calc!I203)</f>
        <v/>
      </c>
    </row>
    <row r="201">
      <c r="A201">
        <f>IF(Calc!$A204="","",Calc!$A204)</f>
        <v/>
      </c>
      <c r="B201">
        <f>IF(Calc!$A204="","",Calc!B204)</f>
        <v/>
      </c>
      <c r="C201">
        <f>IF(Calc!$A204="","",Calc!G204)</f>
        <v/>
      </c>
      <c r="D201">
        <f>IF(Calc!$A204="","",Calc!E204)</f>
        <v/>
      </c>
      <c r="E201">
        <f>IF(Calc!$A204="","",Calc!H204)</f>
        <v/>
      </c>
      <c r="F201">
        <f>IF(Calc!$A204="","",Calc!I204)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2026-10-13T06:22:12Z</dcterms:created>
  <dcterms:modified xmlns:dcterms="http://purl.org/dc/terms/" xmlns:xsi="http://www.w3.org/2001/XMLSchema-instance" xsi:type="dcterms:W3CDTF">2026-10-13T06:22:12Z</dcterms:modified>
</cp:coreProperties>
</file>